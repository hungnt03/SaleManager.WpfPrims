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H\SaleManager\SaleManager.WpfPrims\"/>
    </mc:Choice>
  </mc:AlternateContent>
  <bookViews>
    <workbookView xWindow="0" yWindow="0" windowWidth="28800" windowHeight="12450" activeTab="1"/>
  </bookViews>
  <sheets>
    <sheet name="Sheet1" sheetId="1" r:id="rId1"/>
    <sheet name="Sheet2" sheetId="2" r:id="rId2"/>
  </sheets>
  <definedNames>
    <definedName name="_xlnm._FilterDatabase" localSheetId="0" hidden="1">Sheet1!$A$2:$F$109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8" i="1" l="1"/>
  <c r="D107" i="1"/>
  <c r="D106" i="1"/>
  <c r="D105" i="1"/>
  <c r="D104" i="1"/>
  <c r="D103" i="1"/>
  <c r="D102" i="1"/>
  <c r="D101" i="1"/>
  <c r="D100" i="1"/>
  <c r="D99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<sst xmlns="http://schemas.openxmlformats.org/spreadsheetml/2006/main" count="597" uniqueCount="399">
  <si>
    <t>1</t>
  </si>
  <si>
    <t>2</t>
  </si>
  <si>
    <t>3</t>
  </si>
  <si>
    <t>すりガラス陰影</t>
    <rPh sb="5" eb="7">
      <t>インエイ</t>
    </rPh>
    <phoneticPr fontId="0"/>
  </si>
  <si>
    <t>塊状陰影</t>
    <rPh sb="0" eb="2">
      <t>カイジョウ</t>
    </rPh>
    <rPh sb="2" eb="4">
      <t>インエイ</t>
    </rPh>
    <phoneticPr fontId="0"/>
  </si>
  <si>
    <t>奇静脈葉</t>
    <rPh sb="0" eb="4">
      <t>キジョウ</t>
    </rPh>
    <phoneticPr fontId="0"/>
  </si>
  <si>
    <t>気胸</t>
    <rPh sb="0" eb="2">
      <t>キキョウ</t>
    </rPh>
    <phoneticPr fontId="0"/>
  </si>
  <si>
    <t>胸膜石灰化</t>
    <rPh sb="0" eb="2">
      <t>キョウマク</t>
    </rPh>
    <rPh sb="2" eb="5">
      <t>セッカイカ</t>
    </rPh>
    <phoneticPr fontId="0"/>
  </si>
  <si>
    <t>空洞陰影</t>
    <rPh sb="0" eb="2">
      <t>クウドウ</t>
    </rPh>
    <rPh sb="2" eb="4">
      <t>インエイ</t>
    </rPh>
    <phoneticPr fontId="0"/>
  </si>
  <si>
    <t>帯状陰影</t>
    <rPh sb="0" eb="2">
      <t>オビジョウ</t>
    </rPh>
    <rPh sb="2" eb="4">
      <t>インエイ</t>
    </rPh>
    <phoneticPr fontId="0"/>
  </si>
  <si>
    <t>肺気腫</t>
    <rPh sb="0" eb="3">
      <t>ハイキシュ</t>
    </rPh>
    <phoneticPr fontId="0"/>
  </si>
  <si>
    <t>疑い</t>
    <rPh sb="0" eb="1">
      <t>ウタガ</t>
    </rPh>
    <phoneticPr fontId="0"/>
  </si>
  <si>
    <t>異物</t>
    <rPh sb="0" eb="2">
      <t>イブツ</t>
    </rPh>
    <phoneticPr fontId="0"/>
  </si>
  <si>
    <t>気胸疑い</t>
    <rPh sb="0" eb="2">
      <t>キキョウ</t>
    </rPh>
    <rPh sb="2" eb="3">
      <t>ウタガ</t>
    </rPh>
    <phoneticPr fontId="0"/>
  </si>
  <si>
    <t>肺気腫疑い</t>
    <rPh sb="0" eb="3">
      <t>ハイキシュ</t>
    </rPh>
    <rPh sb="3" eb="4">
      <t>ウタガ</t>
    </rPh>
    <phoneticPr fontId="0"/>
  </si>
  <si>
    <t>ステント留置</t>
    <rPh sb="4" eb="6">
      <t>リュウチ</t>
    </rPh>
    <phoneticPr fontId="0"/>
  </si>
  <si>
    <t>医療機器装置</t>
    <rPh sb="0" eb="2">
      <t>イリョウ</t>
    </rPh>
    <rPh sb="2" eb="4">
      <t>キキ</t>
    </rPh>
    <rPh sb="4" eb="6">
      <t>ソウチ</t>
    </rPh>
    <phoneticPr fontId="0"/>
  </si>
  <si>
    <t>右胸心</t>
    <rPh sb="0" eb="1">
      <t>ウ</t>
    </rPh>
    <rPh sb="1" eb="2">
      <t>キョウ</t>
    </rPh>
    <rPh sb="2" eb="3">
      <t>シン</t>
    </rPh>
    <phoneticPr fontId="0"/>
  </si>
  <si>
    <t>心拡大</t>
    <rPh sb="0" eb="1">
      <t>シン</t>
    </rPh>
    <rPh sb="1" eb="3">
      <t>カクダイ</t>
    </rPh>
    <phoneticPr fontId="0"/>
  </si>
  <si>
    <t>大動脈の拡張像</t>
    <rPh sb="0" eb="3">
      <t>ダイドウミャク</t>
    </rPh>
    <rPh sb="4" eb="6">
      <t>カクチョウ</t>
    </rPh>
    <rPh sb="6" eb="7">
      <t>ゾウ</t>
    </rPh>
    <phoneticPr fontId="0"/>
  </si>
  <si>
    <t>大動脈弓の突出</t>
    <rPh sb="0" eb="3">
      <t>ダイドウミャク</t>
    </rPh>
    <rPh sb="3" eb="4">
      <t>キュウ</t>
    </rPh>
    <rPh sb="5" eb="7">
      <t>トッシュツ</t>
    </rPh>
    <phoneticPr fontId="0"/>
  </si>
  <si>
    <t>大動脈蛇行</t>
    <rPh sb="0" eb="3">
      <t>ダイドウミャク</t>
    </rPh>
    <rPh sb="3" eb="5">
      <t>ダコウ</t>
    </rPh>
    <phoneticPr fontId="0"/>
  </si>
  <si>
    <t>大動脈術後</t>
    <rPh sb="0" eb="3">
      <t>ダイドウミャク</t>
    </rPh>
    <rPh sb="3" eb="5">
      <t>ジュツゴ</t>
    </rPh>
    <phoneticPr fontId="0"/>
  </si>
  <si>
    <t>大動脈石灰化</t>
    <rPh sb="0" eb="3">
      <t>ダイドウミャク</t>
    </rPh>
    <rPh sb="3" eb="6">
      <t>セッカイカ</t>
    </rPh>
    <phoneticPr fontId="0"/>
  </si>
  <si>
    <t>大動脈瘤</t>
    <rPh sb="0" eb="4">
      <t>ダイドウミャクリュウ</t>
    </rPh>
    <phoneticPr fontId="0"/>
  </si>
  <si>
    <t>大動脈瘤疑い</t>
    <rPh sb="0" eb="3">
      <t>ダイドウミャク</t>
    </rPh>
    <rPh sb="3" eb="4">
      <t>リュウ</t>
    </rPh>
    <rPh sb="4" eb="5">
      <t>ウタガ</t>
    </rPh>
    <phoneticPr fontId="0"/>
  </si>
  <si>
    <t>脊椎側弯</t>
    <rPh sb="0" eb="4">
      <t>セキ</t>
    </rPh>
    <phoneticPr fontId="0"/>
  </si>
  <si>
    <t>胸部術後</t>
    <rPh sb="0" eb="2">
      <t>キョウブ</t>
    </rPh>
    <rPh sb="2" eb="4">
      <t>ジュツゴ</t>
    </rPh>
    <phoneticPr fontId="0"/>
  </si>
  <si>
    <t>肋骨骨折後</t>
    <rPh sb="0" eb="5">
      <t>ロッコツ</t>
    </rPh>
    <phoneticPr fontId="0"/>
  </si>
  <si>
    <t>肋骨の変形</t>
    <rPh sb="0" eb="2">
      <t>ロッコツ</t>
    </rPh>
    <rPh sb="3" eb="5">
      <t>ヘンケイ</t>
    </rPh>
    <phoneticPr fontId="0"/>
  </si>
  <si>
    <t>肋骨異常</t>
    <rPh sb="0" eb="2">
      <t>ロッコツ</t>
    </rPh>
    <rPh sb="2" eb="4">
      <t>イジョウ</t>
    </rPh>
    <phoneticPr fontId="0"/>
  </si>
  <si>
    <t>肋骨島</t>
    <rPh sb="0" eb="1">
      <t>ロク</t>
    </rPh>
    <rPh sb="1" eb="2">
      <t>コッ</t>
    </rPh>
    <rPh sb="2" eb="3">
      <t>シマ</t>
    </rPh>
    <phoneticPr fontId="0"/>
  </si>
  <si>
    <t>頚肋</t>
    <rPh sb="0" eb="1">
      <t>ケイ</t>
    </rPh>
    <rPh sb="1" eb="2">
      <t>ロク</t>
    </rPh>
    <phoneticPr fontId="0"/>
  </si>
  <si>
    <t>乳房術後</t>
    <rPh sb="0" eb="2">
      <t>ニュウボウ</t>
    </rPh>
    <rPh sb="2" eb="4">
      <t>ジュツゴ</t>
    </rPh>
    <phoneticPr fontId="0"/>
  </si>
  <si>
    <t>内臓逆位</t>
    <rPh sb="0" eb="2">
      <t>ナイゾウ</t>
    </rPh>
    <rPh sb="2" eb="4">
      <t>ギャクイ</t>
    </rPh>
    <phoneticPr fontId="0"/>
  </si>
  <si>
    <t>ポート留置</t>
    <rPh sb="3" eb="5">
      <t>リュウチ</t>
    </rPh>
    <phoneticPr fontId="0"/>
  </si>
  <si>
    <t>気管偏位</t>
    <rPh sb="0" eb="2">
      <t>キカン</t>
    </rPh>
    <rPh sb="2" eb="3">
      <t>ヘン</t>
    </rPh>
    <rPh sb="3" eb="4">
      <t>イ</t>
    </rPh>
    <phoneticPr fontId="0"/>
  </si>
  <si>
    <t>気管偏位　要耳鼻科受診</t>
    <rPh sb="0" eb="2">
      <t>キカン</t>
    </rPh>
    <rPh sb="2" eb="4">
      <t>ヘンイ</t>
    </rPh>
    <rPh sb="5" eb="6">
      <t>ヨウ</t>
    </rPh>
    <rPh sb="6" eb="9">
      <t>ジビカ</t>
    </rPh>
    <rPh sb="9" eb="11">
      <t>ジュシン</t>
    </rPh>
    <phoneticPr fontId="0"/>
  </si>
  <si>
    <t>キライディティ症候群</t>
    <rPh sb="7" eb="10">
      <t>ショウコウグン</t>
    </rPh>
    <phoneticPr fontId="0"/>
  </si>
  <si>
    <t>胸水</t>
    <rPh sb="0" eb="2">
      <t>キョウスイ</t>
    </rPh>
    <phoneticPr fontId="0"/>
  </si>
  <si>
    <t>食道裂孔ヘルニア</t>
    <rPh sb="0" eb="2">
      <t>ショクドウ</t>
    </rPh>
    <rPh sb="2" eb="4">
      <t>レッコウ</t>
    </rPh>
    <phoneticPr fontId="0"/>
  </si>
  <si>
    <t>漏斗胸</t>
    <rPh sb="0" eb="2">
      <t>ロウト</t>
    </rPh>
    <rPh sb="2" eb="3">
      <t>キョウ</t>
    </rPh>
    <phoneticPr fontId="0"/>
  </si>
  <si>
    <t>鎖骨骨折後</t>
    <rPh sb="0" eb="2">
      <t>サコツ</t>
    </rPh>
    <rPh sb="2" eb="4">
      <t>コッセツ</t>
    </rPh>
    <rPh sb="4" eb="5">
      <t>ゴ</t>
    </rPh>
    <phoneticPr fontId="0"/>
  </si>
  <si>
    <t>バリウム残留</t>
    <rPh sb="4" eb="6">
      <t>ザンリュウ</t>
    </rPh>
    <phoneticPr fontId="0"/>
  </si>
  <si>
    <t>リンパ節腫大</t>
    <rPh sb="3" eb="4">
      <t>セツ</t>
    </rPh>
    <rPh sb="4" eb="6">
      <t>シュダイ</t>
    </rPh>
    <phoneticPr fontId="0"/>
  </si>
  <si>
    <t>リンパ節石灰化</t>
    <rPh sb="3" eb="4">
      <t>セツ</t>
    </rPh>
    <rPh sb="4" eb="6">
      <t>セッカイ</t>
    </rPh>
    <rPh sb="6" eb="7">
      <t>カ</t>
    </rPh>
    <phoneticPr fontId="0"/>
  </si>
  <si>
    <t>胸膜プラーク</t>
    <rPh sb="0" eb="2">
      <t>キョウマク</t>
    </rPh>
    <phoneticPr fontId="0"/>
  </si>
  <si>
    <t>横隔膜プラーク</t>
    <rPh sb="0" eb="3">
      <t>オウカクマク</t>
    </rPh>
    <phoneticPr fontId="0"/>
  </si>
  <si>
    <t>横隔膜ヘルニア</t>
    <rPh sb="0" eb="3">
      <t>オウカクマク</t>
    </rPh>
    <phoneticPr fontId="0"/>
  </si>
  <si>
    <t>気管狭窄</t>
    <rPh sb="0" eb="2">
      <t>キカン</t>
    </rPh>
    <rPh sb="2" eb="4">
      <t>キョウサク</t>
    </rPh>
    <phoneticPr fontId="0"/>
  </si>
  <si>
    <t>気管支拡張像</t>
    <rPh sb="0" eb="3">
      <t>キカンシ</t>
    </rPh>
    <rPh sb="3" eb="5">
      <t>カクチョウ</t>
    </rPh>
    <rPh sb="5" eb="6">
      <t>ゾウ</t>
    </rPh>
    <phoneticPr fontId="0"/>
  </si>
  <si>
    <t>胸郭形成術後</t>
    <rPh sb="0" eb="2">
      <t>キョウカク</t>
    </rPh>
    <rPh sb="2" eb="4">
      <t>ケイセイ</t>
    </rPh>
    <rPh sb="4" eb="6">
      <t>ジュツゴ</t>
    </rPh>
    <phoneticPr fontId="0"/>
  </si>
  <si>
    <t>胸郭変形</t>
    <rPh sb="0" eb="2">
      <t>キョウカク</t>
    </rPh>
    <rPh sb="2" eb="4">
      <t>ヘンケイ</t>
    </rPh>
    <phoneticPr fontId="0"/>
  </si>
  <si>
    <t>甲状腺腫瘍</t>
    <rPh sb="0" eb="3">
      <t>コウジョウセン</t>
    </rPh>
    <rPh sb="3" eb="5">
      <t>シュヨウ</t>
    </rPh>
    <phoneticPr fontId="0"/>
  </si>
  <si>
    <t>縦隔腫瘍</t>
    <rPh sb="0" eb="2">
      <t>ジュウカク</t>
    </rPh>
    <rPh sb="2" eb="4">
      <t>シュヨウ</t>
    </rPh>
    <phoneticPr fontId="0"/>
  </si>
  <si>
    <t>縦隔石灰化</t>
    <rPh sb="0" eb="2">
      <t>ジュウカク</t>
    </rPh>
    <rPh sb="2" eb="5">
      <t>セッカイカ</t>
    </rPh>
    <phoneticPr fontId="0"/>
  </si>
  <si>
    <t>変形性脊椎症</t>
    <rPh sb="0" eb="3">
      <t>ヘンケイセイ</t>
    </rPh>
    <rPh sb="3" eb="6">
      <t>セキツイショウ</t>
    </rPh>
    <phoneticPr fontId="0"/>
  </si>
  <si>
    <t>脊椎術後</t>
    <rPh sb="0" eb="2">
      <t>セキツイ</t>
    </rPh>
    <rPh sb="2" eb="4">
      <t>ジュツゴ</t>
    </rPh>
    <phoneticPr fontId="0"/>
  </si>
  <si>
    <t>鎖骨術後</t>
    <rPh sb="0" eb="2">
      <t>サコツ</t>
    </rPh>
    <rPh sb="2" eb="4">
      <t>ジュツゴ</t>
    </rPh>
    <phoneticPr fontId="0"/>
  </si>
  <si>
    <t>胸壁腫瘍</t>
    <rPh sb="0" eb="2">
      <t>キョウヘキ</t>
    </rPh>
    <rPh sb="2" eb="4">
      <t>シュヨウ</t>
    </rPh>
    <phoneticPr fontId="0"/>
  </si>
  <si>
    <t>要甲状腺科受診</t>
    <rPh sb="0" eb="1">
      <t>ヨウ</t>
    </rPh>
    <rPh sb="1" eb="4">
      <t>コウジョウセン</t>
    </rPh>
    <rPh sb="4" eb="5">
      <t>カ</t>
    </rPh>
    <rPh sb="5" eb="7">
      <t>ジュシン</t>
    </rPh>
    <phoneticPr fontId="0"/>
  </si>
  <si>
    <t>要耳鼻科受診</t>
    <rPh sb="0" eb="1">
      <t>ヨウ</t>
    </rPh>
    <rPh sb="1" eb="4">
      <t>ジビカ</t>
    </rPh>
    <rPh sb="4" eb="6">
      <t>ジュシン</t>
    </rPh>
    <phoneticPr fontId="0"/>
  </si>
  <si>
    <t>要内科受診</t>
    <rPh sb="0" eb="1">
      <t>ヨウ</t>
    </rPh>
    <rPh sb="1" eb="3">
      <t>ナイカ</t>
    </rPh>
    <rPh sb="3" eb="5">
      <t>ジュシン</t>
    </rPh>
    <phoneticPr fontId="0"/>
  </si>
  <si>
    <t>要消化器科受診</t>
    <rPh sb="0" eb="1">
      <t>ヨウ</t>
    </rPh>
    <rPh sb="1" eb="4">
      <t>ショウカキ</t>
    </rPh>
    <rPh sb="4" eb="5">
      <t>カ</t>
    </rPh>
    <rPh sb="5" eb="7">
      <t>ジュシン</t>
    </rPh>
    <phoneticPr fontId="0"/>
  </si>
  <si>
    <t>要整形外科受診</t>
    <rPh sb="0" eb="1">
      <t>ヨウ</t>
    </rPh>
    <rPh sb="1" eb="3">
      <t>セイケイ</t>
    </rPh>
    <rPh sb="3" eb="5">
      <t>ゲカ</t>
    </rPh>
    <rPh sb="5" eb="7">
      <t>ジュシン</t>
    </rPh>
    <phoneticPr fontId="0"/>
  </si>
  <si>
    <t>肩甲骨骨折後</t>
    <rPh sb="0" eb="3">
      <t>ケンコウコツ</t>
    </rPh>
    <rPh sb="3" eb="5">
      <t>コッセツ</t>
    </rPh>
    <rPh sb="5" eb="6">
      <t>ゴ</t>
    </rPh>
    <phoneticPr fontId="0"/>
  </si>
  <si>
    <t>胸壁腫瘍疑い</t>
    <rPh sb="0" eb="2">
      <t>キョウヘキ</t>
    </rPh>
    <rPh sb="2" eb="4">
      <t>シュヨウ</t>
    </rPh>
    <rPh sb="4" eb="5">
      <t>ウタガ</t>
    </rPh>
    <phoneticPr fontId="0"/>
  </si>
  <si>
    <t>脊椎変形疑い</t>
    <rPh sb="0" eb="2">
      <t>セキツイ</t>
    </rPh>
    <rPh sb="2" eb="4">
      <t>ヘンケイ</t>
    </rPh>
    <rPh sb="4" eb="5">
      <t>ウタガ</t>
    </rPh>
    <phoneticPr fontId="0"/>
  </si>
  <si>
    <t>乳房石灰化</t>
    <rPh sb="0" eb="2">
      <t>ニュウボウ</t>
    </rPh>
    <rPh sb="2" eb="5">
      <t>セッカイカ</t>
    </rPh>
    <phoneticPr fontId="0"/>
  </si>
  <si>
    <t>腹部石灰化</t>
    <rPh sb="0" eb="2">
      <t>フクブ</t>
    </rPh>
    <rPh sb="2" eb="4">
      <t>セッカイ</t>
    </rPh>
    <rPh sb="4" eb="5">
      <t>カ</t>
    </rPh>
    <phoneticPr fontId="0"/>
  </si>
  <si>
    <t>上腕骨異常陰影</t>
    <rPh sb="0" eb="3">
      <t>ジョウワンコツ</t>
    </rPh>
    <rPh sb="3" eb="5">
      <t>イジョウ</t>
    </rPh>
    <rPh sb="5" eb="7">
      <t>インエイ</t>
    </rPh>
    <phoneticPr fontId="0"/>
  </si>
  <si>
    <t>大理石病</t>
    <rPh sb="0" eb="3">
      <t>ダイリセキ</t>
    </rPh>
    <rPh sb="3" eb="4">
      <t>ビョウ</t>
    </rPh>
    <phoneticPr fontId="0"/>
  </si>
  <si>
    <t>シャントチューブ</t>
  </si>
  <si>
    <t>縦隔腫瘍疑い</t>
    <rPh sb="0" eb="2">
      <t>ジュウカク</t>
    </rPh>
    <rPh sb="2" eb="4">
      <t>シュヨウ</t>
    </rPh>
    <rPh sb="4" eb="5">
      <t>ウタガ</t>
    </rPh>
    <phoneticPr fontId="0"/>
  </si>
  <si>
    <t>甲状腺腫瘍疑い</t>
    <rPh sb="0" eb="3">
      <t>コウジョウセン</t>
    </rPh>
    <rPh sb="3" eb="5">
      <t>シュヨウ</t>
    </rPh>
    <rPh sb="5" eb="6">
      <t>ウタガ</t>
    </rPh>
    <phoneticPr fontId="0"/>
  </si>
  <si>
    <t>腹部ガス貯留　要消化器科受診</t>
    <rPh sb="0" eb="2">
      <t>フクブ</t>
    </rPh>
    <rPh sb="4" eb="6">
      <t>チョリュウ</t>
    </rPh>
    <rPh sb="7" eb="8">
      <t>ヨウ</t>
    </rPh>
    <rPh sb="8" eb="11">
      <t>ショウカキ</t>
    </rPh>
    <rPh sb="11" eb="12">
      <t>カ</t>
    </rPh>
    <rPh sb="12" eb="14">
      <t>ジュシン</t>
    </rPh>
    <phoneticPr fontId="0"/>
  </si>
  <si>
    <t>腹部石灰化　要内科受診</t>
    <rPh sb="0" eb="2">
      <t>フクブ</t>
    </rPh>
    <rPh sb="2" eb="5">
      <t>セッカイカ</t>
    </rPh>
    <rPh sb="6" eb="7">
      <t>ヨウ</t>
    </rPh>
    <rPh sb="7" eb="9">
      <t>ナイカ</t>
    </rPh>
    <rPh sb="9" eb="11">
      <t>ジュシン</t>
    </rPh>
    <phoneticPr fontId="0"/>
  </si>
  <si>
    <t>肋骨骨折後　要整形外科受診</t>
    <rPh sb="0" eb="2">
      <t>ロッコツ</t>
    </rPh>
    <rPh sb="2" eb="4">
      <t>コッセツ</t>
    </rPh>
    <rPh sb="4" eb="5">
      <t>ゴ</t>
    </rPh>
    <rPh sb="6" eb="7">
      <t>ヨウ</t>
    </rPh>
    <rPh sb="7" eb="11">
      <t>セイケイゲカ</t>
    </rPh>
    <rPh sb="11" eb="13">
      <t>ジュシン</t>
    </rPh>
    <phoneticPr fontId="0"/>
  </si>
  <si>
    <t>脊椎側弯　要整形外科受診</t>
    <rPh sb="0" eb="2">
      <t>セキツイ</t>
    </rPh>
    <rPh sb="2" eb="4">
      <t>ソクワン</t>
    </rPh>
    <rPh sb="5" eb="6">
      <t>ヨウ</t>
    </rPh>
    <rPh sb="6" eb="10">
      <t>セイケイゲカ</t>
    </rPh>
    <rPh sb="10" eb="12">
      <t>ジュシン</t>
    </rPh>
    <phoneticPr fontId="0"/>
  </si>
  <si>
    <t>肋骨の変形　要整形外科受診</t>
    <rPh sb="0" eb="2">
      <t>ロッコツ</t>
    </rPh>
    <rPh sb="3" eb="5">
      <t>ヘンケイ</t>
    </rPh>
    <rPh sb="6" eb="7">
      <t>ヨウ</t>
    </rPh>
    <rPh sb="7" eb="13">
      <t>セイケイゲカジュシン</t>
    </rPh>
    <phoneticPr fontId="0"/>
  </si>
  <si>
    <t>肋骨異常　要整形外科受診</t>
    <rPh sb="0" eb="2">
      <t>ロッコツ</t>
    </rPh>
    <rPh sb="2" eb="4">
      <t>イジョウ</t>
    </rPh>
    <rPh sb="5" eb="12">
      <t>ヨウセイケイゲカジュシン</t>
    </rPh>
    <phoneticPr fontId="0"/>
  </si>
  <si>
    <t>食道アカラシア疑い　要消化器科受診</t>
    <rPh sb="0" eb="2">
      <t>ショクドウ</t>
    </rPh>
    <rPh sb="7" eb="8">
      <t>ウタガ</t>
    </rPh>
    <rPh sb="10" eb="11">
      <t>ヨウ</t>
    </rPh>
    <rPh sb="11" eb="14">
      <t>ショウカキ</t>
    </rPh>
    <rPh sb="14" eb="15">
      <t>カ</t>
    </rPh>
    <rPh sb="15" eb="17">
      <t>ジュシン</t>
    </rPh>
    <phoneticPr fontId="0"/>
  </si>
  <si>
    <t>食道狭窄疑い　要消化器科受診</t>
    <rPh sb="0" eb="2">
      <t>ショクドウ</t>
    </rPh>
    <rPh sb="2" eb="4">
      <t>キョウサク</t>
    </rPh>
    <rPh sb="4" eb="5">
      <t>ウタガ</t>
    </rPh>
    <rPh sb="7" eb="14">
      <t>ヨウショウカキカジュシン</t>
    </rPh>
    <phoneticPr fontId="0"/>
  </si>
  <si>
    <t>食道裂孔ヘルニア　要消化器科受診</t>
    <rPh sb="0" eb="2">
      <t>ショクドウ</t>
    </rPh>
    <rPh sb="2" eb="4">
      <t>レッコウ</t>
    </rPh>
    <rPh sb="9" eb="16">
      <t>ヨウショウカキカジュシン</t>
    </rPh>
    <phoneticPr fontId="0"/>
  </si>
  <si>
    <t>鎖骨骨折後　要整形外科受診</t>
    <rPh sb="0" eb="2">
      <t>サコツ</t>
    </rPh>
    <rPh sb="2" eb="4">
      <t>コッセツ</t>
    </rPh>
    <rPh sb="4" eb="5">
      <t>ゴ</t>
    </rPh>
    <rPh sb="6" eb="7">
      <t>ヨウ</t>
    </rPh>
    <rPh sb="7" eb="13">
      <t>セイケイゲカジュシン</t>
    </rPh>
    <phoneticPr fontId="0"/>
  </si>
  <si>
    <t>甲状腺腫瘍　要甲状腺科受診</t>
    <rPh sb="0" eb="3">
      <t>コウジョウセン</t>
    </rPh>
    <rPh sb="3" eb="5">
      <t>シュヨウ</t>
    </rPh>
    <rPh sb="6" eb="7">
      <t>ヨウ</t>
    </rPh>
    <rPh sb="7" eb="10">
      <t>コウジョウセン</t>
    </rPh>
    <rPh sb="10" eb="11">
      <t>カ</t>
    </rPh>
    <rPh sb="11" eb="13">
      <t>ジュシン</t>
    </rPh>
    <phoneticPr fontId="0"/>
  </si>
  <si>
    <t>甲状腺腫瘍疑い　要甲状腺科受診</t>
    <rPh sb="0" eb="3">
      <t>コウジョウセン</t>
    </rPh>
    <rPh sb="3" eb="5">
      <t>シュヨウ</t>
    </rPh>
    <rPh sb="5" eb="6">
      <t>ウタガ</t>
    </rPh>
    <rPh sb="8" eb="9">
      <t>ヨウ</t>
    </rPh>
    <rPh sb="9" eb="12">
      <t>コウジョウセン</t>
    </rPh>
    <rPh sb="12" eb="13">
      <t>カ</t>
    </rPh>
    <rPh sb="13" eb="15">
      <t>ジュシン</t>
    </rPh>
    <phoneticPr fontId="0"/>
  </si>
  <si>
    <t>脊椎カリエス疑い　要整形外科受診</t>
    <rPh sb="0" eb="2">
      <t>セキツイ</t>
    </rPh>
    <rPh sb="6" eb="7">
      <t>ウタガ</t>
    </rPh>
    <rPh sb="9" eb="10">
      <t>ヨウ</t>
    </rPh>
    <rPh sb="10" eb="16">
      <t>セイケイゲカジュシン</t>
    </rPh>
    <phoneticPr fontId="0"/>
  </si>
  <si>
    <t>肺野外腫瘍疑い　要皮膚科受診</t>
    <rPh sb="0" eb="2">
      <t>ハイヤ</t>
    </rPh>
    <rPh sb="2" eb="3">
      <t>ガイ</t>
    </rPh>
    <rPh sb="3" eb="6">
      <t>シュヨウウタガ</t>
    </rPh>
    <rPh sb="8" eb="9">
      <t>ヨウ</t>
    </rPh>
    <rPh sb="9" eb="12">
      <t>ヒフカ</t>
    </rPh>
    <rPh sb="12" eb="14">
      <t>ジュシン</t>
    </rPh>
    <phoneticPr fontId="0"/>
  </si>
  <si>
    <t>肺野外腫瘍疑い　要内科受診</t>
    <rPh sb="0" eb="2">
      <t>ハイヤ</t>
    </rPh>
    <rPh sb="2" eb="3">
      <t>ガイ</t>
    </rPh>
    <rPh sb="3" eb="6">
      <t>シュヨウウタガ</t>
    </rPh>
    <rPh sb="8" eb="9">
      <t>ヨウ</t>
    </rPh>
    <rPh sb="9" eb="11">
      <t>ナイカ</t>
    </rPh>
    <rPh sb="11" eb="13">
      <t>ジュシン</t>
    </rPh>
    <phoneticPr fontId="0"/>
  </si>
  <si>
    <t>脊椎変形疑い　要整形外科受診</t>
    <rPh sb="0" eb="2">
      <t>セキツイ</t>
    </rPh>
    <rPh sb="2" eb="4">
      <t>ヘンケイ</t>
    </rPh>
    <rPh sb="4" eb="5">
      <t>ウタガ</t>
    </rPh>
    <rPh sb="7" eb="14">
      <t>ヨウセイケイゲカジュシン</t>
    </rPh>
    <phoneticPr fontId="0"/>
  </si>
  <si>
    <t>乳房石灰化　要乳腺外科</t>
    <rPh sb="0" eb="2">
      <t>ニュウボウ</t>
    </rPh>
    <rPh sb="2" eb="5">
      <t>セッカイカ</t>
    </rPh>
    <rPh sb="6" eb="7">
      <t>ヨウ</t>
    </rPh>
    <rPh sb="7" eb="9">
      <t>ニュウセン</t>
    </rPh>
    <rPh sb="9" eb="11">
      <t>ゲカ</t>
    </rPh>
    <phoneticPr fontId="0"/>
  </si>
  <si>
    <t>M07</t>
  </si>
  <si>
    <t>B02</t>
  </si>
  <si>
    <t>K01</t>
  </si>
  <si>
    <t>F02</t>
  </si>
  <si>
    <t>F06</t>
  </si>
  <si>
    <t>B03</t>
  </si>
  <si>
    <t>M02</t>
  </si>
  <si>
    <t>M05</t>
  </si>
  <si>
    <t>M04</t>
  </si>
  <si>
    <t>K03</t>
  </si>
  <si>
    <t>J01</t>
  </si>
  <si>
    <t>J02</t>
  </si>
  <si>
    <t>J03</t>
  </si>
  <si>
    <t>J04</t>
  </si>
  <si>
    <t>L05</t>
  </si>
  <si>
    <t>J05</t>
  </si>
  <si>
    <t>I01</t>
  </si>
  <si>
    <t>H05</t>
  </si>
  <si>
    <t>H06</t>
  </si>
  <si>
    <t>H04</t>
  </si>
  <si>
    <t>L06</t>
  </si>
  <si>
    <t>K04</t>
  </si>
  <si>
    <t>D02</t>
  </si>
  <si>
    <t>F01</t>
  </si>
  <si>
    <t>E06</t>
  </si>
  <si>
    <t>I03</t>
  </si>
  <si>
    <t>I07</t>
  </si>
  <si>
    <t>M03</t>
  </si>
  <si>
    <t>E03</t>
  </si>
  <si>
    <t>M01</t>
  </si>
  <si>
    <t>F07</t>
  </si>
  <si>
    <t>G01</t>
  </si>
  <si>
    <t>D01</t>
  </si>
  <si>
    <t>D04</t>
  </si>
  <si>
    <t>L01</t>
  </si>
  <si>
    <t>I06</t>
  </si>
  <si>
    <t>E01</t>
  </si>
  <si>
    <t>E05</t>
  </si>
  <si>
    <t>I04</t>
  </si>
  <si>
    <t>F03</t>
  </si>
  <si>
    <t>B08</t>
  </si>
  <si>
    <t>M06</t>
  </si>
  <si>
    <t>BLANK</t>
    <phoneticPr fontId="3"/>
  </si>
  <si>
    <t>頻脈（心房細動・心房粗動時に使用）</t>
    <rPh sb="0" eb="2">
      <t>ヒンミャク</t>
    </rPh>
    <rPh sb="3" eb="5">
      <t>シンボウ</t>
    </rPh>
    <rPh sb="5" eb="7">
      <t>サイドウ</t>
    </rPh>
    <rPh sb="8" eb="10">
      <t>シンボウ</t>
    </rPh>
    <rPh sb="10" eb="12">
      <t>ソドウ</t>
    </rPh>
    <rPh sb="12" eb="13">
      <t>ジ</t>
    </rPh>
    <rPh sb="14" eb="16">
      <t>シヨウ</t>
    </rPh>
    <phoneticPr fontId="0"/>
  </si>
  <si>
    <t>徐脈（心房細動・心房粗動時に使用）</t>
    <rPh sb="0" eb="2">
      <t>ジョミャク</t>
    </rPh>
    <phoneticPr fontId="0"/>
  </si>
  <si>
    <t>ブルガダ型疑い</t>
    <rPh sb="4" eb="5">
      <t>ガタ</t>
    </rPh>
    <rPh sb="5" eb="6">
      <t>ウタガ</t>
    </rPh>
    <phoneticPr fontId="0"/>
  </si>
  <si>
    <t>洞性不整脈</t>
    <rPh sb="0" eb="2">
      <t>ドウセイ</t>
    </rPh>
    <rPh sb="2" eb="5">
      <t>フセイミャク</t>
    </rPh>
    <phoneticPr fontId="0"/>
  </si>
  <si>
    <t>補充収縮</t>
    <rPh sb="0" eb="2">
      <t>ホジュウ</t>
    </rPh>
    <rPh sb="2" eb="4">
      <t>シュウシュク</t>
    </rPh>
    <phoneticPr fontId="0"/>
  </si>
  <si>
    <t>等頻度房室解離</t>
    <rPh sb="0" eb="1">
      <t>トウ</t>
    </rPh>
    <rPh sb="1" eb="3">
      <t>ヒンド</t>
    </rPh>
    <rPh sb="3" eb="5">
      <t>ボウシツ</t>
    </rPh>
    <rPh sb="5" eb="7">
      <t>カイリ</t>
    </rPh>
    <phoneticPr fontId="0"/>
  </si>
  <si>
    <t>副収縮</t>
    <rPh sb="0" eb="1">
      <t>フク</t>
    </rPh>
    <rPh sb="1" eb="3">
      <t>シュウシュク</t>
    </rPh>
    <phoneticPr fontId="0"/>
  </si>
  <si>
    <t>促進性心室調律</t>
    <rPh sb="0" eb="2">
      <t>ソクシン</t>
    </rPh>
    <rPh sb="2" eb="3">
      <t>セイ</t>
    </rPh>
    <rPh sb="3" eb="5">
      <t>シンシツ</t>
    </rPh>
    <rPh sb="5" eb="7">
      <t>チョウリツ</t>
    </rPh>
    <phoneticPr fontId="0"/>
  </si>
  <si>
    <t>移動性ペースメーカー</t>
    <rPh sb="0" eb="3">
      <t>イドウセイ</t>
    </rPh>
    <phoneticPr fontId="0"/>
  </si>
  <si>
    <t>陰性Ｕ波</t>
    <rPh sb="0" eb="2">
      <t>インセイ</t>
    </rPh>
    <rPh sb="3" eb="4">
      <t>ハ</t>
    </rPh>
    <phoneticPr fontId="0"/>
  </si>
  <si>
    <t>健診年度</t>
    <rPh sb="0" eb="2">
      <t>ケンシン</t>
    </rPh>
    <rPh sb="2" eb="4">
      <t>ネンド</t>
    </rPh>
    <phoneticPr fontId="1"/>
  </si>
  <si>
    <t>実施年月日</t>
    <rPh sb="0" eb="2">
      <t>ジッシ</t>
    </rPh>
    <rPh sb="2" eb="5">
      <t>ネンガッピ</t>
    </rPh>
    <phoneticPr fontId="1"/>
  </si>
  <si>
    <t>特定健診機関番号</t>
    <rPh sb="0" eb="2">
      <t>トクテイ</t>
    </rPh>
    <rPh sb="2" eb="4">
      <t>ケンシン</t>
    </rPh>
    <rPh sb="4" eb="6">
      <t>キカン</t>
    </rPh>
    <rPh sb="6" eb="8">
      <t>バンゴウ</t>
    </rPh>
    <phoneticPr fontId="1"/>
  </si>
  <si>
    <t>特定健診機関名称</t>
    <rPh sb="6" eb="8">
      <t>メイショウ</t>
    </rPh>
    <phoneticPr fontId="1"/>
  </si>
  <si>
    <t>郵便番号</t>
    <rPh sb="0" eb="2">
      <t>ユウビン</t>
    </rPh>
    <rPh sb="2" eb="4">
      <t>バンゴウ</t>
    </rPh>
    <phoneticPr fontId="1"/>
  </si>
  <si>
    <t>所在地</t>
    <rPh sb="0" eb="3">
      <t>ショザイチ</t>
    </rPh>
    <phoneticPr fontId="1"/>
  </si>
  <si>
    <t>電話番号</t>
    <rPh sb="0" eb="2">
      <t>デンワ</t>
    </rPh>
    <rPh sb="2" eb="4">
      <t>バンゴウ</t>
    </rPh>
    <phoneticPr fontId="1"/>
  </si>
  <si>
    <t>被保険者証等記号</t>
    <rPh sb="0" eb="4">
      <t>ヒホケンシャ</t>
    </rPh>
    <rPh sb="4" eb="5">
      <t>ショウ</t>
    </rPh>
    <rPh sb="5" eb="6">
      <t>ナド</t>
    </rPh>
    <rPh sb="6" eb="8">
      <t>キゴウ</t>
    </rPh>
    <phoneticPr fontId="1"/>
  </si>
  <si>
    <t>被保険者証等番号</t>
    <rPh sb="0" eb="4">
      <t>ヒホケンシャ</t>
    </rPh>
    <rPh sb="4" eb="5">
      <t>ショウ</t>
    </rPh>
    <rPh sb="5" eb="6">
      <t>ナド</t>
    </rPh>
    <rPh sb="6" eb="8">
      <t>バンゴウ</t>
    </rPh>
    <phoneticPr fontId="1"/>
  </si>
  <si>
    <t>氏名</t>
    <rPh sb="0" eb="2">
      <t>シメイ</t>
    </rPh>
    <phoneticPr fontId="1"/>
  </si>
  <si>
    <t>生年月日</t>
    <rPh sb="0" eb="2">
      <t>セイネン</t>
    </rPh>
    <rPh sb="2" eb="4">
      <t>ガッピ</t>
    </rPh>
    <phoneticPr fontId="1"/>
  </si>
  <si>
    <t>健診年齢</t>
    <rPh sb="0" eb="2">
      <t>ケンシン</t>
    </rPh>
    <rPh sb="2" eb="4">
      <t>ネンレイ</t>
    </rPh>
    <phoneticPr fontId="1"/>
  </si>
  <si>
    <t>男女区分</t>
    <rPh sb="0" eb="2">
      <t>ダンジョ</t>
    </rPh>
    <rPh sb="2" eb="4">
      <t>クブン</t>
    </rPh>
    <phoneticPr fontId="1"/>
  </si>
  <si>
    <t>受診券整理番号</t>
  </si>
  <si>
    <t>医師の診断(判定)</t>
  </si>
  <si>
    <t>健康診断を実施した医師の
氏名</t>
    <rPh sb="0" eb="2">
      <t>ケンコウ</t>
    </rPh>
    <rPh sb="2" eb="4">
      <t>シンダン</t>
    </rPh>
    <rPh sb="5" eb="7">
      <t>ジッシ</t>
    </rPh>
    <rPh sb="9" eb="11">
      <t>イシ</t>
    </rPh>
    <rPh sb="13" eb="15">
      <t>シメイ</t>
    </rPh>
    <phoneticPr fontId="2"/>
  </si>
  <si>
    <t>健康管理室産業医名</t>
    <rPh sb="0" eb="2">
      <t>ケンコウ</t>
    </rPh>
    <rPh sb="2" eb="4">
      <t>カンリ</t>
    </rPh>
    <rPh sb="4" eb="5">
      <t>シツ</t>
    </rPh>
    <rPh sb="5" eb="8">
      <t>サンギョウイ</t>
    </rPh>
    <rPh sb="8" eb="9">
      <t>メイ</t>
    </rPh>
    <phoneticPr fontId="2"/>
  </si>
  <si>
    <t>Ｗｅｂ通知区分</t>
    <rPh sb="3" eb="5">
      <t>ツウチ</t>
    </rPh>
    <rPh sb="5" eb="7">
      <t>クブン</t>
    </rPh>
    <phoneticPr fontId="2"/>
  </si>
  <si>
    <t>身長</t>
  </si>
  <si>
    <t>体重</t>
  </si>
  <si>
    <t>標準体重</t>
    <rPh sb="0" eb="2">
      <t>ヒョウジュン</t>
    </rPh>
    <phoneticPr fontId="1"/>
  </si>
  <si>
    <t>BMI</t>
  </si>
  <si>
    <t>腹囲(実測)</t>
  </si>
  <si>
    <t>腹囲(自己判定)</t>
    <rPh sb="0" eb="2">
      <t>フクイ</t>
    </rPh>
    <rPh sb="3" eb="5">
      <t>ジコ</t>
    </rPh>
    <rPh sb="5" eb="7">
      <t>ハンテイ</t>
    </rPh>
    <phoneticPr fontId="2"/>
  </si>
  <si>
    <t>腹囲(自己申告)</t>
    <rPh sb="0" eb="2">
      <t>フクイ</t>
    </rPh>
    <rPh sb="3" eb="5">
      <t>ジコ</t>
    </rPh>
    <rPh sb="5" eb="7">
      <t>シンコク</t>
    </rPh>
    <phoneticPr fontId="2"/>
  </si>
  <si>
    <t>内臓脂肪面積</t>
    <rPh sb="0" eb="2">
      <t>ナイゾウ</t>
    </rPh>
    <rPh sb="2" eb="4">
      <t>シボウ</t>
    </rPh>
    <rPh sb="4" eb="6">
      <t>メンセキ</t>
    </rPh>
    <phoneticPr fontId="2"/>
  </si>
  <si>
    <t>既往歴</t>
  </si>
  <si>
    <t>具体的な既往歴</t>
  </si>
  <si>
    <t>自覚症状</t>
  </si>
  <si>
    <t>自覚症状所見</t>
  </si>
  <si>
    <t>他覚症状</t>
  </si>
  <si>
    <t>他覚所見</t>
  </si>
  <si>
    <t>矯正区分</t>
  </si>
  <si>
    <t>視力左</t>
  </si>
  <si>
    <t>視力右</t>
  </si>
  <si>
    <t>聴力検査方法</t>
  </si>
  <si>
    <t>聴力１０００Ｈｚ　左</t>
  </si>
  <si>
    <t>聴力１０００Ｈｚ　右</t>
  </si>
  <si>
    <t>聴力４０００Ｈｚ　左</t>
  </si>
  <si>
    <t>聴力４０００Ｈｚ　右</t>
  </si>
  <si>
    <t>聴打診</t>
  </si>
  <si>
    <t>基本処理グループ</t>
  </si>
  <si>
    <t>基本健診機関コード</t>
  </si>
  <si>
    <t>基本実施年月日(19)</t>
    <rPh sb="0" eb="2">
      <t>キホン</t>
    </rPh>
    <rPh sb="2" eb="4">
      <t>ジッシ</t>
    </rPh>
    <rPh sb="4" eb="7">
      <t>ネンガッピ</t>
    </rPh>
    <phoneticPr fontId="1"/>
  </si>
  <si>
    <t>収縮期血圧(1回目)</t>
    <rPh sb="0" eb="2">
      <t>シュウシュク</t>
    </rPh>
    <rPh sb="2" eb="3">
      <t>キ</t>
    </rPh>
    <rPh sb="3" eb="5">
      <t>ケツアツ</t>
    </rPh>
    <rPh sb="7" eb="9">
      <t>カイメ</t>
    </rPh>
    <phoneticPr fontId="2"/>
  </si>
  <si>
    <t>収縮期血圧(2回目)</t>
    <rPh sb="0" eb="2">
      <t>シュウシュク</t>
    </rPh>
    <rPh sb="2" eb="3">
      <t>キ</t>
    </rPh>
    <rPh sb="3" eb="5">
      <t>ケツアツ</t>
    </rPh>
    <rPh sb="7" eb="9">
      <t>カイメ</t>
    </rPh>
    <phoneticPr fontId="2"/>
  </si>
  <si>
    <t>収縮期血圧(判定用)</t>
    <rPh sb="0" eb="2">
      <t>シュウシュク</t>
    </rPh>
    <rPh sb="2" eb="3">
      <t>キ</t>
    </rPh>
    <rPh sb="3" eb="5">
      <t>ケツアツ</t>
    </rPh>
    <rPh sb="6" eb="8">
      <t>ハンテイ</t>
    </rPh>
    <rPh sb="8" eb="9">
      <t>ヨウ</t>
    </rPh>
    <phoneticPr fontId="2"/>
  </si>
  <si>
    <t>拡張期血圧(1回目)</t>
    <rPh sb="0" eb="3">
      <t>カクチョウキ</t>
    </rPh>
    <rPh sb="3" eb="5">
      <t>ケツアツ</t>
    </rPh>
    <rPh sb="7" eb="9">
      <t>カイメ</t>
    </rPh>
    <phoneticPr fontId="2"/>
  </si>
  <si>
    <r>
      <t>拡張期血圧(2回目)</t>
    </r>
    <r>
      <rPr>
        <sz val="16"/>
        <rFont val="HGP創英角ｺﾞｼｯｸUB"/>
        <family val="3"/>
        <charset val="128"/>
      </rPr>
      <t/>
    </r>
    <rPh sb="0" eb="3">
      <t>カクチョウキ</t>
    </rPh>
    <rPh sb="3" eb="5">
      <t>ケツアツ</t>
    </rPh>
    <rPh sb="7" eb="9">
      <t>カイメ</t>
    </rPh>
    <phoneticPr fontId="2"/>
  </si>
  <si>
    <t>拡張期血圧(判定用)</t>
    <rPh sb="0" eb="2">
      <t>カクチョウ</t>
    </rPh>
    <rPh sb="2" eb="3">
      <t>キ</t>
    </rPh>
    <rPh sb="3" eb="5">
      <t>ケツアツ</t>
    </rPh>
    <rPh sb="6" eb="8">
      <t>ハンテイ</t>
    </rPh>
    <rPh sb="8" eb="9">
      <t>ヨウ</t>
    </rPh>
    <phoneticPr fontId="2"/>
  </si>
  <si>
    <t>尿糖定性</t>
    <rPh sb="0" eb="2">
      <t>ニョウトウ</t>
    </rPh>
    <rPh sb="2" eb="4">
      <t>テイセイ</t>
    </rPh>
    <phoneticPr fontId="1"/>
  </si>
  <si>
    <t>尿蛋白定性</t>
    <rPh sb="0" eb="1">
      <t>ニョウ</t>
    </rPh>
    <rPh sb="1" eb="3">
      <t>タンパク</t>
    </rPh>
    <rPh sb="3" eb="5">
      <t>テイセイ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</si>
  <si>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所見１</t>
    </r>
    <rPh sb="2" eb="4">
      <t>ショケン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</si>
  <si>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部位１</t>
    </r>
    <rPh sb="2" eb="4">
      <t>ブイ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</si>
  <si>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所見２</t>
    </r>
    <rPh sb="2" eb="4">
      <t>ショケン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</si>
  <si>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部位２</t>
    </r>
    <rPh sb="2" eb="4">
      <t>ブイ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</si>
  <si>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所見３</t>
    </r>
    <rPh sb="2" eb="4">
      <t>ショケン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</si>
  <si>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部位３</t>
    </r>
    <rPh sb="2" eb="4">
      <t>ブイ</t>
    </rPh>
    <phoneticPr fontId="1"/>
  </si>
  <si>
    <t>胸部精検種別指示</t>
    <rPh sb="2" eb="4">
      <t>セイケン</t>
    </rPh>
    <rPh sb="4" eb="6">
      <t>シュベツ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</si>
  <si>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判定区分</t>
    </r>
    <rPh sb="2" eb="4">
      <t>ハンテイ</t>
    </rPh>
    <phoneticPr fontId="1"/>
  </si>
  <si>
    <t>胸部処理グループ</t>
  </si>
  <si>
    <t>胸部健診機関コード</t>
  </si>
  <si>
    <t>胸部実施年月日</t>
    <rPh sb="0" eb="2">
      <t>キョウブ</t>
    </rPh>
    <rPh sb="2" eb="4">
      <t>ジッシ</t>
    </rPh>
    <rPh sb="4" eb="7">
      <t>ネンガッピ</t>
    </rPh>
    <phoneticPr fontId="1"/>
  </si>
  <si>
    <t>定健胃カメラ所見１</t>
    <rPh sb="0" eb="2">
      <t>テイケン</t>
    </rPh>
    <rPh sb="6" eb="8">
      <t>ショケン</t>
    </rPh>
    <phoneticPr fontId="1"/>
  </si>
  <si>
    <t>定健胃カメラ部位Ａ１</t>
  </si>
  <si>
    <t>定健胃カメラ部位Ｂ１</t>
  </si>
  <si>
    <t>定健胃カメラ所見２</t>
    <rPh sb="6" eb="8">
      <t>ショケン</t>
    </rPh>
    <phoneticPr fontId="1"/>
  </si>
  <si>
    <t>定健胃カメラ部位Ａ２</t>
    <rPh sb="0" eb="2">
      <t>テイケン</t>
    </rPh>
    <rPh sb="2" eb="3">
      <t>イ</t>
    </rPh>
    <phoneticPr fontId="1"/>
  </si>
  <si>
    <t>定健胃カメラ部位Ｂ２</t>
  </si>
  <si>
    <t>定健胃カメラ所見３</t>
    <rPh sb="6" eb="8">
      <t>ショケン</t>
    </rPh>
    <phoneticPr fontId="1"/>
  </si>
  <si>
    <t>定健胃カメラ部位Ａ３</t>
  </si>
  <si>
    <t>定健胃カメラ部位Ｂ３</t>
  </si>
  <si>
    <r>
      <t>胃部</t>
    </r>
    <r>
      <rPr>
        <sz val="10"/>
        <color indexed="10"/>
        <rFont val="ＭＳ ゴシック"/>
        <family val="3"/>
        <charset val="128"/>
      </rPr>
      <t>Ｘ線</t>
    </r>
    <r>
      <rPr>
        <sz val="10"/>
        <color indexed="10"/>
        <rFont val="ＭＳ ゴシック"/>
        <family val="3"/>
        <charset val="128"/>
      </rPr>
      <t>所見</t>
    </r>
    <r>
      <rPr>
        <sz val="11"/>
        <color theme="1"/>
        <rFont val="ＭＳ Ｐゴシック"/>
        <family val="2"/>
        <charset val="128"/>
        <scheme val="minor"/>
      </rPr>
      <t>１</t>
    </r>
    <rPh sb="3" eb="4">
      <t>セン</t>
    </rPh>
    <rPh sb="4" eb="6">
      <t>ショケン</t>
    </rPh>
    <phoneticPr fontId="1"/>
  </si>
  <si>
    <t>胃部Ｘ線部位Ａ１</t>
  </si>
  <si>
    <t>胃部Ｘ線部位Ｂ１</t>
  </si>
  <si>
    <r>
      <t>胃部</t>
    </r>
    <r>
      <rPr>
        <sz val="10"/>
        <color indexed="10"/>
        <rFont val="ＭＳ ゴシック"/>
        <family val="3"/>
        <charset val="128"/>
      </rPr>
      <t>Ｘ線</t>
    </r>
    <r>
      <rPr>
        <sz val="10"/>
        <color indexed="10"/>
        <rFont val="ＭＳ ゴシック"/>
        <family val="3"/>
        <charset val="128"/>
      </rPr>
      <t>所見</t>
    </r>
    <r>
      <rPr>
        <sz val="11"/>
        <color theme="1"/>
        <rFont val="ＭＳ Ｐゴシック"/>
        <family val="2"/>
        <charset val="128"/>
        <scheme val="minor"/>
      </rPr>
      <t>２</t>
    </r>
    <rPh sb="4" eb="6">
      <t>ショケン</t>
    </rPh>
    <phoneticPr fontId="1"/>
  </si>
  <si>
    <t>胃部Ｘ線部位Ａ２</t>
  </si>
  <si>
    <t>胃部Ｘ線部位Ｂ２</t>
  </si>
  <si>
    <r>
      <t>胃部</t>
    </r>
    <r>
      <rPr>
        <sz val="10"/>
        <color indexed="10"/>
        <rFont val="ＭＳ ゴシック"/>
        <family val="3"/>
        <charset val="128"/>
      </rPr>
      <t>Ｘ線</t>
    </r>
    <r>
      <rPr>
        <sz val="10"/>
        <color indexed="10"/>
        <rFont val="ＭＳ ゴシック"/>
        <family val="3"/>
        <charset val="128"/>
      </rPr>
      <t>所見</t>
    </r>
    <r>
      <rPr>
        <sz val="11"/>
        <color theme="1"/>
        <rFont val="ＭＳ Ｐゴシック"/>
        <family val="2"/>
        <charset val="128"/>
        <scheme val="minor"/>
      </rPr>
      <t>３</t>
    </r>
    <rPh sb="4" eb="6">
      <t>ショケン</t>
    </rPh>
    <phoneticPr fontId="1"/>
  </si>
  <si>
    <t>胃部Ｘ線部位Ａ３</t>
  </si>
  <si>
    <t>胃部Ｘ線部位Ｂ３</t>
  </si>
  <si>
    <t>胃部精検方法指示</t>
    <rPh sb="2" eb="4">
      <t>セイケン</t>
    </rPh>
    <rPh sb="4" eb="6">
      <t>ホウホウ</t>
    </rPh>
    <phoneticPr fontId="1"/>
  </si>
  <si>
    <r>
      <t>胃部</t>
    </r>
    <r>
      <rPr>
        <sz val="11"/>
        <color theme="1"/>
        <rFont val="ＭＳ Ｐゴシック"/>
        <family val="2"/>
        <charset val="128"/>
        <scheme val="minor"/>
      </rPr>
      <t>判定区分</t>
    </r>
    <rPh sb="2" eb="4">
      <t>ハンテイ</t>
    </rPh>
    <phoneticPr fontId="1"/>
  </si>
  <si>
    <t>胃部処理グループ</t>
  </si>
  <si>
    <t>胃部健診機関コード</t>
  </si>
  <si>
    <t>胃部実施年月日</t>
    <rPh sb="0" eb="1">
      <t>イ</t>
    </rPh>
    <rPh sb="1" eb="2">
      <t>ブ</t>
    </rPh>
    <rPh sb="2" eb="4">
      <t>ジッシ</t>
    </rPh>
    <rPh sb="4" eb="7">
      <t>ネンガッピ</t>
    </rPh>
    <phoneticPr fontId="1"/>
  </si>
  <si>
    <t>ＯＣ定性</t>
    <rPh sb="2" eb="4">
      <t>テイセイ</t>
    </rPh>
    <phoneticPr fontId="1"/>
  </si>
  <si>
    <t>ＯＣ定量</t>
  </si>
  <si>
    <r>
      <t>大腸</t>
    </r>
    <r>
      <rPr>
        <sz val="11"/>
        <color theme="1"/>
        <rFont val="ＭＳ Ｐゴシック"/>
        <family val="2"/>
        <charset val="128"/>
        <scheme val="minor"/>
      </rPr>
      <t>判定区分</t>
    </r>
    <rPh sb="2" eb="4">
      <t>ハンテイ</t>
    </rPh>
    <phoneticPr fontId="1"/>
  </si>
  <si>
    <t>大腸処理グループ</t>
  </si>
  <si>
    <t>大腸健診機関コード</t>
  </si>
  <si>
    <t>大腸実施年月日</t>
    <rPh sb="0" eb="2">
      <t>ダイチョウ</t>
    </rPh>
    <rPh sb="2" eb="4">
      <t>ジッシ</t>
    </rPh>
    <rPh sb="4" eb="7">
      <t>ネンガッピ</t>
    </rPh>
    <phoneticPr fontId="1"/>
  </si>
  <si>
    <t>心拍数</t>
  </si>
  <si>
    <t>心電図所見１</t>
  </si>
  <si>
    <t>心電図所見２</t>
  </si>
  <si>
    <t>心電図所見３</t>
  </si>
  <si>
    <t>心電図所見４</t>
  </si>
  <si>
    <t>心電図所見５</t>
  </si>
  <si>
    <t>心電図所見６</t>
  </si>
  <si>
    <r>
      <t>循環器</t>
    </r>
    <r>
      <rPr>
        <sz val="11"/>
        <color theme="1"/>
        <rFont val="ＭＳ Ｐゴシック"/>
        <family val="2"/>
        <charset val="128"/>
        <scheme val="minor"/>
      </rPr>
      <t>判定区分</t>
    </r>
    <rPh sb="3" eb="5">
      <t>ハンテイ</t>
    </rPh>
    <phoneticPr fontId="1"/>
  </si>
  <si>
    <t>循環器処理グループ</t>
  </si>
  <si>
    <t>循環器健診機関コード</t>
  </si>
  <si>
    <t>循環器実施年月日</t>
    <rPh sb="0" eb="3">
      <t>ジュンカンキ</t>
    </rPh>
    <rPh sb="3" eb="5">
      <t>ジッシ</t>
    </rPh>
    <rPh sb="5" eb="8">
      <t>ネンガッピ</t>
    </rPh>
    <phoneticPr fontId="1"/>
  </si>
  <si>
    <t>空腹時区分</t>
    <rPh sb="0" eb="2">
      <t>クウフク</t>
    </rPh>
    <rPh sb="2" eb="3">
      <t>ジ</t>
    </rPh>
    <rPh sb="3" eb="5">
      <t>クブン</t>
    </rPh>
    <phoneticPr fontId="1"/>
  </si>
  <si>
    <t>空腹時血糖</t>
    <rPh sb="0" eb="2">
      <t>クウフク</t>
    </rPh>
    <rPh sb="2" eb="3">
      <t>ジ</t>
    </rPh>
    <phoneticPr fontId="1"/>
  </si>
  <si>
    <t>随時血糖</t>
    <rPh sb="0" eb="2">
      <t>ズイジ</t>
    </rPh>
    <phoneticPr fontId="1"/>
  </si>
  <si>
    <r>
      <rPr>
        <sz val="11"/>
        <color theme="1"/>
        <rFont val="ＭＳ Ｐゴシック"/>
        <family val="2"/>
        <charset val="128"/>
        <scheme val="minor"/>
      </rPr>
      <t>中性脂肪(TG)</t>
    </r>
    <rPh sb="0" eb="2">
      <t>チュウセイ</t>
    </rPh>
    <rPh sb="2" eb="4">
      <t>シボウ</t>
    </rPh>
    <phoneticPr fontId="2"/>
  </si>
  <si>
    <t>HDLコレステロール</t>
  </si>
  <si>
    <t>LDLコレステロール</t>
  </si>
  <si>
    <t>GOT(AST)</t>
  </si>
  <si>
    <t>GPT(ALT)</t>
  </si>
  <si>
    <t>γ-GT(γ-GTP)(GGT)</t>
  </si>
  <si>
    <t>HbA1c(NGSP値)</t>
    <rPh sb="10" eb="11">
      <t>アタイ</t>
    </rPh>
    <phoneticPr fontId="1"/>
  </si>
  <si>
    <t>ＨＢｓ抗原</t>
  </si>
  <si>
    <t>ＨＣＶ抗体</t>
    <rPh sb="3" eb="5">
      <t>コウタイ</t>
    </rPh>
    <phoneticPr fontId="1"/>
  </si>
  <si>
    <t>尿酸(UA)</t>
  </si>
  <si>
    <t>ｸﾚｱﾁﾆﾝ（Cr)</t>
  </si>
  <si>
    <t>ﾍﾓｸﾞﾛﾋﾞﾝ(Hb)</t>
  </si>
  <si>
    <t>赤血球数(RBC)</t>
  </si>
  <si>
    <t>ﾍﾏﾄｸﾘｯﾄ(HT)</t>
  </si>
  <si>
    <t>白血球数(WBC)</t>
  </si>
  <si>
    <t>Ｌ/Ｈ比</t>
    <rPh sb="3" eb="4">
      <t>ヒ</t>
    </rPh>
    <phoneticPr fontId="1"/>
  </si>
  <si>
    <t>血液処理グループ</t>
  </si>
  <si>
    <t>血液健診機関コード</t>
  </si>
  <si>
    <t>血液実施年月日</t>
    <rPh sb="0" eb="2">
      <t>ケツエキ</t>
    </rPh>
    <rPh sb="2" eb="4">
      <t>ジッシ</t>
    </rPh>
    <rPh sb="4" eb="7">
      <t>ネンガッピ</t>
    </rPh>
    <phoneticPr fontId="1"/>
  </si>
  <si>
    <t>メタボ判定</t>
    <rPh sb="3" eb="5">
      <t>ハンテイ</t>
    </rPh>
    <phoneticPr fontId="2"/>
  </si>
  <si>
    <t>階層化判定</t>
    <rPh sb="0" eb="3">
      <t>カイソウカ</t>
    </rPh>
    <rPh sb="3" eb="5">
      <t>ハンテイ</t>
    </rPh>
    <phoneticPr fontId="2"/>
  </si>
  <si>
    <t>尿検査判定</t>
    <rPh sb="0" eb="3">
      <t>ニョウケンサ</t>
    </rPh>
    <rPh sb="3" eb="5">
      <t>ハンテイ</t>
    </rPh>
    <phoneticPr fontId="2"/>
  </si>
  <si>
    <t>血圧判定</t>
    <rPh sb="0" eb="2">
      <t>ケツアツ</t>
    </rPh>
    <rPh sb="2" eb="4">
      <t>ハンテイ</t>
    </rPh>
    <phoneticPr fontId="2"/>
  </si>
  <si>
    <t>糖尿判定</t>
    <rPh sb="0" eb="2">
      <t>トウニョウ</t>
    </rPh>
    <rPh sb="2" eb="4">
      <t>ハンテイ</t>
    </rPh>
    <phoneticPr fontId="2"/>
  </si>
  <si>
    <t>肝臓判定</t>
    <rPh sb="0" eb="2">
      <t>カンゾウ</t>
    </rPh>
    <rPh sb="2" eb="4">
      <t>ハンテイ</t>
    </rPh>
    <phoneticPr fontId="2"/>
  </si>
  <si>
    <t>貧血判定</t>
    <rPh sb="0" eb="2">
      <t>ヒンケツ</t>
    </rPh>
    <rPh sb="2" eb="4">
      <t>ハンテイ</t>
    </rPh>
    <phoneticPr fontId="2"/>
  </si>
  <si>
    <r>
      <t>腎臓</t>
    </r>
    <r>
      <rPr>
        <sz val="11"/>
        <color theme="1"/>
        <rFont val="ＭＳ Ｐゴシック"/>
        <family val="2"/>
        <charset val="128"/>
        <scheme val="minor"/>
      </rPr>
      <t>(Cr)判定</t>
    </r>
    <rPh sb="0" eb="2">
      <t>ジンゾウ</t>
    </rPh>
    <rPh sb="6" eb="8">
      <t>ハンテイ</t>
    </rPh>
    <phoneticPr fontId="2"/>
  </si>
  <si>
    <t>脂質判定</t>
    <rPh sb="0" eb="2">
      <t>シシツ</t>
    </rPh>
    <rPh sb="2" eb="4">
      <t>ハンテイ</t>
    </rPh>
    <phoneticPr fontId="2"/>
  </si>
  <si>
    <t>尿酸判定</t>
    <rPh sb="0" eb="2">
      <t>ニョウサン</t>
    </rPh>
    <rPh sb="2" eb="4">
      <t>ハンテイ</t>
    </rPh>
    <phoneticPr fontId="2"/>
  </si>
  <si>
    <t>４項目異常</t>
    <rPh sb="1" eb="3">
      <t>コウモク</t>
    </rPh>
    <rPh sb="3" eb="5">
      <t>イジョウ</t>
    </rPh>
    <phoneticPr fontId="2"/>
  </si>
  <si>
    <t>健康リスク区分</t>
    <rPh sb="0" eb="2">
      <t>ケンコウ</t>
    </rPh>
    <rPh sb="5" eb="7">
      <t>クブン</t>
    </rPh>
    <phoneticPr fontId="2"/>
  </si>
  <si>
    <t>定健時産業医判定
（健康リスク区分）</t>
    <rPh sb="0" eb="1">
      <t>サダ</t>
    </rPh>
    <rPh sb="1" eb="3">
      <t>ケンジ</t>
    </rPh>
    <rPh sb="3" eb="6">
      <t>サンギョウイ</t>
    </rPh>
    <rPh sb="6" eb="8">
      <t>ハンテイ</t>
    </rPh>
    <rPh sb="10" eb="12">
      <t>ケンコウ</t>
    </rPh>
    <rPh sb="15" eb="17">
      <t>クブン</t>
    </rPh>
    <phoneticPr fontId="2"/>
  </si>
  <si>
    <t>CHDリスク</t>
  </si>
  <si>
    <t>就業判定</t>
    <rPh sb="0" eb="2">
      <t>シュウギョウ</t>
    </rPh>
    <rPh sb="2" eb="4">
      <t>ハンテイ</t>
    </rPh>
    <phoneticPr fontId="1"/>
  </si>
  <si>
    <t>eGFR</t>
  </si>
  <si>
    <t>質問A-1回答
（心身状態）</t>
    <rPh sb="0" eb="2">
      <t>シツモン</t>
    </rPh>
    <rPh sb="5" eb="7">
      <t>カイトウ</t>
    </rPh>
    <rPh sb="9" eb="11">
      <t>シンシン</t>
    </rPh>
    <rPh sb="11" eb="13">
      <t>ジョウタイ</t>
    </rPh>
    <phoneticPr fontId="1"/>
  </si>
  <si>
    <t>質問A-2回答
（パフォーマンス）</t>
  </si>
  <si>
    <r>
      <rPr>
        <sz val="10"/>
        <color indexed="10"/>
        <rFont val="ＭＳ ゴシック"/>
        <family val="3"/>
        <charset val="128"/>
      </rPr>
      <t>質問A-3</t>
    </r>
    <r>
      <rPr>
        <sz val="11"/>
        <color theme="1"/>
        <rFont val="ＭＳ Ｐゴシック"/>
        <family val="2"/>
        <charset val="128"/>
        <scheme val="minor"/>
      </rPr>
      <t>回答
（咀嚼）</t>
    </r>
    <rPh sb="9" eb="11">
      <t>ソシャク</t>
    </rPh>
    <phoneticPr fontId="1"/>
  </si>
  <si>
    <t>質問A-4回答
（失神発作）</t>
    <rPh sb="9" eb="11">
      <t>シッシン</t>
    </rPh>
    <rPh sb="11" eb="13">
      <t>ホッサ</t>
    </rPh>
    <phoneticPr fontId="1"/>
  </si>
  <si>
    <t>質問A-5回答
（動悸発作）</t>
    <rPh sb="9" eb="11">
      <t>ドウキ</t>
    </rPh>
    <rPh sb="11" eb="13">
      <t>ホッサ</t>
    </rPh>
    <phoneticPr fontId="1"/>
  </si>
  <si>
    <t>質問A-6回答
（胸痛発作）</t>
    <rPh sb="9" eb="11">
      <t>キョウツウ</t>
    </rPh>
    <rPh sb="11" eb="13">
      <t>ホッサ</t>
    </rPh>
    <phoneticPr fontId="1"/>
  </si>
  <si>
    <r>
      <rPr>
        <sz val="10"/>
        <color indexed="10"/>
        <rFont val="ＭＳ ゴシック"/>
        <family val="3"/>
        <charset val="128"/>
      </rPr>
      <t>質問A-7</t>
    </r>
    <r>
      <rPr>
        <sz val="11"/>
        <color theme="1"/>
        <rFont val="ＭＳ Ｐゴシック"/>
        <family val="2"/>
        <charset val="128"/>
        <scheme val="minor"/>
      </rPr>
      <t>回答
（体重増加）</t>
    </r>
    <rPh sb="9" eb="11">
      <t>タイジュウ</t>
    </rPh>
    <rPh sb="11" eb="13">
      <t>ゾウカ</t>
    </rPh>
    <phoneticPr fontId="1"/>
  </si>
  <si>
    <t>質問B-1-①回答
病歴（心筋梗塞など）</t>
  </si>
  <si>
    <t>質問B-1-②回答
病歴（脳梗塞など）</t>
    <rPh sb="13" eb="16">
      <t>ノウコウソク</t>
    </rPh>
    <phoneticPr fontId="1"/>
  </si>
  <si>
    <t>質問B-1-③回答
病歴（悪性新生物がん）</t>
    <rPh sb="0" eb="2">
      <t>シツモン</t>
    </rPh>
    <rPh sb="7" eb="9">
      <t>カイトウ</t>
    </rPh>
    <rPh sb="13" eb="15">
      <t>アクセイ</t>
    </rPh>
    <rPh sb="15" eb="18">
      <t>シンセイブツ</t>
    </rPh>
    <phoneticPr fontId="1"/>
  </si>
  <si>
    <t>質問B-1-④回答
病歴（慢性腎臓病など）</t>
    <rPh sb="13" eb="15">
      <t>マンセイ</t>
    </rPh>
    <rPh sb="15" eb="18">
      <t>ジンゾウビョウ</t>
    </rPh>
    <phoneticPr fontId="1"/>
  </si>
  <si>
    <t>質問B-1-⑤回答
病歴（貧血）</t>
    <rPh sb="13" eb="15">
      <t>ヒンケツ</t>
    </rPh>
    <phoneticPr fontId="1"/>
  </si>
  <si>
    <t>質問B-1-⑥回答
病歴（その他）</t>
    <rPh sb="0" eb="2">
      <t>シツモン</t>
    </rPh>
    <rPh sb="7" eb="9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</si>
  <si>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質問B-2</t>
    </r>
    <r>
      <rPr>
        <sz val="10"/>
        <color indexed="8"/>
        <rFont val="ＭＳ ゴシック"/>
        <family val="3"/>
        <charset val="128"/>
      </rPr>
      <t>-①</t>
    </r>
    <r>
      <rPr>
        <sz val="11"/>
        <color theme="1"/>
        <rFont val="ＭＳ Ｐゴシック"/>
        <family val="2"/>
        <charset val="128"/>
        <scheme val="minor"/>
      </rPr>
      <t>回答
投薬(</t>
    </r>
    <r>
      <rPr>
        <sz val="10"/>
        <color indexed="10"/>
        <rFont val="ＭＳ ゴシック"/>
        <family val="3"/>
        <charset val="128"/>
      </rPr>
      <t>高血圧</t>
    </r>
    <r>
      <rPr>
        <sz val="11"/>
        <color theme="1"/>
        <rFont val="ＭＳ Ｐゴシック"/>
        <family val="2"/>
        <charset val="128"/>
        <scheme val="minor"/>
      </rPr>
      <t>)</t>
    </r>
    <rPh sb="10" eb="12">
      <t>トウヤク</t>
    </rPh>
    <rPh sb="13" eb="14">
      <t>タカ</t>
    </rPh>
    <rPh sb="14" eb="16">
      <t>ケツアツ</t>
    </rPh>
    <phoneticPr fontId="1"/>
  </si>
  <si>
    <r>
      <rPr>
        <sz val="10"/>
        <color indexed="10"/>
        <rFont val="ＭＳ ゴシック"/>
        <family val="3"/>
        <charset val="128"/>
      </rPr>
      <t>質問B-2-②</t>
    </r>
    <r>
      <rPr>
        <sz val="11"/>
        <color theme="1"/>
        <rFont val="ＭＳ Ｐゴシック"/>
        <family val="2"/>
        <charset val="128"/>
        <scheme val="minor"/>
      </rPr>
      <t>回答
投薬（</t>
    </r>
    <r>
      <rPr>
        <sz val="10"/>
        <color indexed="10"/>
        <rFont val="ＭＳ ゴシック"/>
        <family val="3"/>
        <charset val="128"/>
      </rPr>
      <t>心臓・不整脈</t>
    </r>
    <r>
      <rPr>
        <sz val="11"/>
        <color theme="1"/>
        <rFont val="ＭＳ Ｐゴシック"/>
        <family val="2"/>
        <charset val="128"/>
        <scheme val="minor"/>
      </rPr>
      <t>）</t>
    </r>
    <rPh sb="0" eb="2">
      <t>シツモン</t>
    </rPh>
    <rPh sb="7" eb="9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</si>
  <si>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質問B-2-③</t>
    </r>
    <r>
      <rPr>
        <sz val="11"/>
        <color theme="1"/>
        <rFont val="ＭＳ Ｐゴシック"/>
        <family val="2"/>
        <charset val="128"/>
        <scheme val="minor"/>
      </rPr>
      <t>回答
投薬(糖尿病)</t>
    </r>
    <rPh sb="10" eb="11">
      <t>トウ</t>
    </rPh>
    <rPh sb="11" eb="12">
      <t>クスリ</t>
    </rPh>
    <rPh sb="13" eb="16">
      <t>トウニョウビョウ</t>
    </rPh>
    <phoneticPr fontId="1"/>
  </si>
  <si>
    <r>
      <rPr>
        <sz val="10"/>
        <color indexed="10"/>
        <rFont val="ＭＳ ゴシック"/>
        <family val="3"/>
        <charset val="128"/>
      </rPr>
      <t>質問B-2-④</t>
    </r>
    <r>
      <rPr>
        <sz val="11"/>
        <color theme="1"/>
        <rFont val="ＭＳ Ｐゴシック"/>
        <family val="2"/>
        <charset val="128"/>
        <scheme val="minor"/>
      </rPr>
      <t>回答
投薬(</t>
    </r>
    <r>
      <rPr>
        <sz val="10"/>
        <color indexed="10"/>
        <rFont val="ＭＳ ゴシック"/>
        <family val="3"/>
        <charset val="128"/>
      </rPr>
      <t>脂質異常症</t>
    </r>
    <r>
      <rPr>
        <sz val="11"/>
        <color theme="1"/>
        <rFont val="ＭＳ Ｐゴシック"/>
        <family val="2"/>
        <charset val="128"/>
        <scheme val="minor"/>
      </rPr>
      <t>)</t>
    </r>
    <rPh sb="13" eb="15">
      <t>シシツ</t>
    </rPh>
    <rPh sb="15" eb="17">
      <t>イジョウ</t>
    </rPh>
    <phoneticPr fontId="1"/>
  </si>
  <si>
    <r>
      <rPr>
        <sz val="10"/>
        <color indexed="10"/>
        <rFont val="ＭＳ ゴシック"/>
        <family val="3"/>
        <charset val="128"/>
      </rPr>
      <t>質問B-2-⑤</t>
    </r>
    <r>
      <rPr>
        <sz val="11"/>
        <color theme="1"/>
        <rFont val="ＭＳ Ｐゴシック"/>
        <family val="2"/>
        <charset val="128"/>
        <scheme val="minor"/>
      </rPr>
      <t>回答
投薬（高尿酸血症）</t>
    </r>
    <rPh sb="0" eb="2">
      <t>シツモン</t>
    </rPh>
    <rPh sb="7" eb="9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</si>
  <si>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質問B-2-⑥</t>
    </r>
    <r>
      <rPr>
        <sz val="11"/>
        <color theme="1"/>
        <rFont val="ＭＳ Ｐゴシック"/>
        <family val="2"/>
        <charset val="128"/>
        <scheme val="minor"/>
      </rPr>
      <t>回答
投薬（胃・十二指腸潰瘍）</t>
    </r>
    <rPh sb="0" eb="2">
      <t>シツモン</t>
    </rPh>
    <rPh sb="7" eb="9">
      <t>カイトウ</t>
    </rPh>
    <rPh sb="13" eb="14">
      <t>イ</t>
    </rPh>
    <rPh sb="15" eb="19">
      <t>ジュウニシチョウ</t>
    </rPh>
    <rPh sb="19" eb="21">
      <t>カイヨウ</t>
    </rPh>
    <phoneticPr fontId="1"/>
  </si>
  <si>
    <r>
      <rPr>
        <sz val="10"/>
        <color indexed="10"/>
        <rFont val="ＭＳ ゴシック"/>
        <family val="3"/>
        <charset val="128"/>
      </rPr>
      <t>質問B-2</t>
    </r>
    <r>
      <rPr>
        <sz val="11"/>
        <color theme="1"/>
        <rFont val="ＭＳ Ｐゴシック"/>
        <family val="2"/>
        <charset val="128"/>
        <scheme val="minor"/>
      </rPr>
      <t>-⑦回答
投薬（不眠症）</t>
    </r>
    <rPh sb="0" eb="2">
      <t>シツモン</t>
    </rPh>
    <rPh sb="7" eb="9">
      <t>カイトウ</t>
    </rPh>
    <rPh sb="13" eb="16">
      <t>フミンショウ</t>
    </rPh>
    <phoneticPr fontId="1"/>
  </si>
  <si>
    <r>
      <rPr>
        <sz val="10"/>
        <color indexed="10"/>
        <rFont val="ＭＳ ゴシック"/>
        <family val="3"/>
        <charset val="128"/>
      </rPr>
      <t>質問B-2</t>
    </r>
    <r>
      <rPr>
        <sz val="11"/>
        <color theme="1"/>
        <rFont val="ＭＳ Ｐゴシック"/>
        <family val="2"/>
        <charset val="128"/>
        <scheme val="minor"/>
      </rPr>
      <t>-⑧回答
投薬（その他の病気）</t>
    </r>
    <rPh sb="0" eb="2">
      <t>シツモン</t>
    </rPh>
    <rPh sb="7" eb="9">
      <t>カイトウ</t>
    </rPh>
    <rPh sb="15" eb="16">
      <t>タ</t>
    </rPh>
    <rPh sb="17" eb="19">
      <t>ビョウキ</t>
    </rPh>
    <phoneticPr fontId="1"/>
  </si>
  <si>
    <t>質問C-1回答
（職種）</t>
    <rPh sb="0" eb="2">
      <t>シツモン</t>
    </rPh>
    <rPh sb="5" eb="7">
      <t>カイトウ</t>
    </rPh>
    <rPh sb="9" eb="11">
      <t>ショクシュ</t>
    </rPh>
    <phoneticPr fontId="1"/>
  </si>
  <si>
    <t>質問C-2回答
（勤務形態）</t>
    <rPh sb="0" eb="2">
      <t>シツモン</t>
    </rPh>
    <rPh sb="5" eb="7">
      <t>カイトウ</t>
    </rPh>
    <rPh sb="9" eb="11">
      <t>キンム</t>
    </rPh>
    <rPh sb="11" eb="13">
      <t>ケイタイ</t>
    </rPh>
    <phoneticPr fontId="1"/>
  </si>
  <si>
    <t>質問C-3回答
（深夜勤務）</t>
    <rPh sb="0" eb="2">
      <t>シツモン</t>
    </rPh>
    <rPh sb="5" eb="7">
      <t>カイトウ</t>
    </rPh>
    <rPh sb="9" eb="11">
      <t>シンヤ</t>
    </rPh>
    <rPh sb="11" eb="13">
      <t>キンム</t>
    </rPh>
    <phoneticPr fontId="1"/>
  </si>
  <si>
    <t>質問C-4回答
（VDT作業）</t>
    <rPh sb="0" eb="2">
      <t>シツモン</t>
    </rPh>
    <rPh sb="5" eb="7">
      <t>カイトウ</t>
    </rPh>
    <rPh sb="12" eb="14">
      <t>サギョウ</t>
    </rPh>
    <phoneticPr fontId="1"/>
  </si>
  <si>
    <t>質問D-1回答
（朝欠食）</t>
    <rPh sb="9" eb="10">
      <t>アサ</t>
    </rPh>
    <rPh sb="10" eb="12">
      <t>ケッショク</t>
    </rPh>
    <phoneticPr fontId="1"/>
  </si>
  <si>
    <t>質問D-2回答
（食事速度）</t>
    <rPh sb="9" eb="11">
      <t>ショクジ</t>
    </rPh>
    <rPh sb="11" eb="13">
      <t>ソクド</t>
    </rPh>
    <phoneticPr fontId="1"/>
  </si>
  <si>
    <t>質問D-3回答
（就寝前食事）</t>
    <rPh sb="9" eb="11">
      <t>シュウシン</t>
    </rPh>
    <rPh sb="11" eb="12">
      <t>マエ</t>
    </rPh>
    <rPh sb="12" eb="14">
      <t>ショクジ</t>
    </rPh>
    <phoneticPr fontId="1"/>
  </si>
  <si>
    <t>質問D-4回答
（間食）</t>
    <rPh sb="9" eb="11">
      <t>カンショク</t>
    </rPh>
    <phoneticPr fontId="1"/>
  </si>
  <si>
    <t>質問D-5回答
（栄養バランス）</t>
    <rPh sb="0" eb="2">
      <t>シツモン</t>
    </rPh>
    <rPh sb="5" eb="7">
      <t>カイトウ</t>
    </rPh>
    <rPh sb="9" eb="11">
      <t>エイヨウ</t>
    </rPh>
    <phoneticPr fontId="1"/>
  </si>
  <si>
    <t>質問D-6回答
（塩分取り過ぎ）</t>
    <rPh sb="0" eb="2">
      <t>シツモン</t>
    </rPh>
    <rPh sb="5" eb="7">
      <t>カイトウ</t>
    </rPh>
    <rPh sb="9" eb="11">
      <t>エンブン</t>
    </rPh>
    <rPh sb="11" eb="12">
      <t>ト</t>
    </rPh>
    <rPh sb="13" eb="14">
      <t>ス</t>
    </rPh>
    <phoneticPr fontId="1"/>
  </si>
  <si>
    <t>質問D-7回答
（野菜摂取）</t>
    <rPh sb="9" eb="11">
      <t>ヤサイ</t>
    </rPh>
    <rPh sb="11" eb="13">
      <t>セッシュ</t>
    </rPh>
    <phoneticPr fontId="1"/>
  </si>
  <si>
    <t>質問D-8回答
（油物摂取）</t>
    <rPh sb="9" eb="10">
      <t>アブラ</t>
    </rPh>
    <rPh sb="10" eb="11">
      <t>モノ</t>
    </rPh>
    <rPh sb="11" eb="13">
      <t>セッシュ</t>
    </rPh>
    <phoneticPr fontId="1"/>
  </si>
  <si>
    <t>質問D-9回答
（摂取順番）</t>
    <rPh sb="9" eb="11">
      <t>セッシュ</t>
    </rPh>
    <rPh sb="11" eb="13">
      <t>ジュンバン</t>
    </rPh>
    <phoneticPr fontId="1"/>
  </si>
  <si>
    <r>
      <rPr>
        <sz val="10"/>
        <color indexed="10"/>
        <rFont val="ＭＳ ゴシック"/>
        <family val="3"/>
        <charset val="128"/>
      </rPr>
      <t>質問D-10</t>
    </r>
    <r>
      <rPr>
        <sz val="11"/>
        <color theme="1"/>
        <rFont val="ＭＳ Ｐゴシック"/>
        <family val="2"/>
        <charset val="128"/>
        <scheme val="minor"/>
      </rPr>
      <t>回答
（飲酒頻度）</t>
    </r>
    <rPh sb="10" eb="12">
      <t>インシュ</t>
    </rPh>
    <rPh sb="12" eb="14">
      <t>ヒンド</t>
    </rPh>
    <phoneticPr fontId="1"/>
  </si>
  <si>
    <r>
      <rPr>
        <sz val="10"/>
        <color indexed="10"/>
        <rFont val="ＭＳ ゴシック"/>
        <family val="3"/>
        <charset val="128"/>
      </rPr>
      <t>質問D-11</t>
    </r>
    <r>
      <rPr>
        <sz val="11"/>
        <color theme="1"/>
        <rFont val="ＭＳ Ｐゴシック"/>
        <family val="2"/>
        <charset val="128"/>
        <scheme val="minor"/>
      </rPr>
      <t>回答
（飲酒量）</t>
    </r>
    <rPh sb="10" eb="12">
      <t>インシュ</t>
    </rPh>
    <rPh sb="12" eb="13">
      <t>リョウ</t>
    </rPh>
    <phoneticPr fontId="1"/>
  </si>
  <si>
    <r>
      <rPr>
        <sz val="10"/>
        <color indexed="10"/>
        <rFont val="ＭＳ ゴシック"/>
        <family val="3"/>
        <charset val="128"/>
      </rPr>
      <t>質問D-12</t>
    </r>
    <r>
      <rPr>
        <sz val="11"/>
        <color theme="1"/>
        <rFont val="ＭＳ Ｐゴシック"/>
        <family val="2"/>
        <charset val="128"/>
        <scheme val="minor"/>
      </rPr>
      <t>回答
（運動）</t>
    </r>
    <rPh sb="10" eb="12">
      <t>ウンドウ</t>
    </rPh>
    <phoneticPr fontId="1"/>
  </si>
  <si>
    <r>
      <rPr>
        <sz val="10"/>
        <color indexed="10"/>
        <rFont val="ＭＳ ゴシック"/>
        <family val="3"/>
        <charset val="128"/>
      </rPr>
      <t>質問D-13</t>
    </r>
    <r>
      <rPr>
        <sz val="11"/>
        <color theme="1"/>
        <rFont val="ＭＳ Ｐゴシック"/>
        <family val="2"/>
        <charset val="128"/>
        <scheme val="minor"/>
      </rPr>
      <t>回答
（歩行）</t>
    </r>
    <rPh sb="10" eb="12">
      <t>ホコウ</t>
    </rPh>
    <phoneticPr fontId="1"/>
  </si>
  <si>
    <r>
      <rPr>
        <sz val="10"/>
        <color indexed="10"/>
        <rFont val="ＭＳ ゴシック"/>
        <family val="3"/>
        <charset val="128"/>
      </rPr>
      <t>質問D-14</t>
    </r>
    <r>
      <rPr>
        <sz val="11"/>
        <color theme="1"/>
        <rFont val="ＭＳ Ｐゴシック"/>
        <family val="2"/>
        <charset val="128"/>
        <scheme val="minor"/>
      </rPr>
      <t>回答
（歩行速度）</t>
    </r>
    <rPh sb="10" eb="12">
      <t>ホコウ</t>
    </rPh>
    <rPh sb="12" eb="14">
      <t>ソクド</t>
    </rPh>
    <phoneticPr fontId="1"/>
  </si>
  <si>
    <r>
      <rPr>
        <sz val="10"/>
        <color indexed="10"/>
        <rFont val="ＭＳ ゴシック"/>
        <family val="3"/>
        <charset val="128"/>
      </rPr>
      <t>質問D-15</t>
    </r>
    <r>
      <rPr>
        <sz val="11"/>
        <color theme="1"/>
        <rFont val="ＭＳ Ｐゴシック"/>
        <family val="2"/>
        <charset val="128"/>
        <scheme val="minor"/>
      </rPr>
      <t>回答
（歩数自覚）</t>
    </r>
    <rPh sb="0" eb="2">
      <t>シツモン</t>
    </rPh>
    <rPh sb="6" eb="8">
      <t>カイトウ</t>
    </rPh>
    <rPh sb="10" eb="12">
      <t>ホスウ</t>
    </rPh>
    <rPh sb="12" eb="14">
      <t>ジカク</t>
    </rPh>
    <phoneticPr fontId="1"/>
  </si>
  <si>
    <r>
      <rPr>
        <sz val="10"/>
        <color indexed="10"/>
        <rFont val="ＭＳ ゴシック"/>
        <family val="3"/>
        <charset val="128"/>
      </rPr>
      <t>質問D-16</t>
    </r>
    <r>
      <rPr>
        <sz val="11"/>
        <color theme="1"/>
        <rFont val="ＭＳ Ｐゴシック"/>
        <family val="2"/>
        <charset val="128"/>
        <scheme val="minor"/>
      </rPr>
      <t>回答
（歩数）</t>
    </r>
    <rPh sb="0" eb="2">
      <t>シツモン</t>
    </rPh>
    <rPh sb="6" eb="8">
      <t>カイトウ</t>
    </rPh>
    <rPh sb="10" eb="12">
      <t>ホスウ</t>
    </rPh>
    <phoneticPr fontId="1"/>
  </si>
  <si>
    <t>質問D-17回答
（運動）</t>
    <rPh sb="0" eb="2">
      <t>シツモン</t>
    </rPh>
    <rPh sb="6" eb="8">
      <t>カイトウ</t>
    </rPh>
    <rPh sb="10" eb="12">
      <t>ウンドウ</t>
    </rPh>
    <phoneticPr fontId="1"/>
  </si>
  <si>
    <r>
      <rPr>
        <sz val="10"/>
        <color indexed="10"/>
        <rFont val="ＭＳ ゴシック"/>
        <family val="3"/>
        <charset val="128"/>
      </rPr>
      <t>質問D-18</t>
    </r>
    <r>
      <rPr>
        <sz val="11"/>
        <color theme="1"/>
        <rFont val="ＭＳ Ｐゴシック"/>
        <family val="2"/>
        <charset val="128"/>
        <scheme val="minor"/>
      </rPr>
      <t>回答
（平均睡眠時間）</t>
    </r>
    <rPh sb="0" eb="2">
      <t>シツモン</t>
    </rPh>
    <rPh sb="6" eb="8">
      <t>カイトウ</t>
    </rPh>
    <rPh sb="10" eb="12">
      <t>ヘイキン</t>
    </rPh>
    <rPh sb="12" eb="14">
      <t>スイミン</t>
    </rPh>
    <rPh sb="14" eb="16">
      <t>ジカン</t>
    </rPh>
    <phoneticPr fontId="1"/>
  </si>
  <si>
    <t>質問D-19回答　
（睡眠休養）</t>
  </si>
  <si>
    <t>質問D-20回答
（喫煙）</t>
  </si>
  <si>
    <r>
      <rPr>
        <sz val="10"/>
        <color indexed="10"/>
        <rFont val="ＭＳ ゴシック"/>
        <family val="3"/>
        <charset val="128"/>
      </rPr>
      <t>質問D-21</t>
    </r>
    <r>
      <rPr>
        <sz val="11"/>
        <color theme="1"/>
        <rFont val="ＭＳ Ｐゴシック"/>
        <family val="2"/>
        <charset val="128"/>
        <scheme val="minor"/>
      </rPr>
      <t>回答
（１日平均本数）</t>
    </r>
    <rPh sb="0" eb="2">
      <t>シツモン</t>
    </rPh>
    <rPh sb="6" eb="8">
      <t>カイトウ</t>
    </rPh>
    <rPh sb="11" eb="12">
      <t>ヒ</t>
    </rPh>
    <rPh sb="12" eb="14">
      <t>ヘイキン</t>
    </rPh>
    <rPh sb="14" eb="16">
      <t>ホンスウ</t>
    </rPh>
    <phoneticPr fontId="1"/>
  </si>
  <si>
    <t>質問D-22回答
（年数）</t>
    <rPh sb="0" eb="2">
      <t>シツモン</t>
    </rPh>
    <rPh sb="6" eb="8">
      <t>カイトウ</t>
    </rPh>
    <rPh sb="10" eb="12">
      <t>ネンスウ</t>
    </rPh>
    <phoneticPr fontId="1"/>
  </si>
  <si>
    <t>質問D-23回答
（喫煙種類）</t>
    <rPh sb="0" eb="2">
      <t>シツモン</t>
    </rPh>
    <rPh sb="6" eb="8">
      <t>カイトウ</t>
    </rPh>
    <rPh sb="10" eb="12">
      <t>キツエン</t>
    </rPh>
    <rPh sb="12" eb="14">
      <t>シュルイ</t>
    </rPh>
    <phoneticPr fontId="1"/>
  </si>
  <si>
    <r>
      <rPr>
        <sz val="10"/>
        <color indexed="10"/>
        <rFont val="ＭＳ ゴシック"/>
        <family val="3"/>
        <charset val="128"/>
      </rPr>
      <t>質問D-24</t>
    </r>
    <r>
      <rPr>
        <sz val="11"/>
        <color theme="1"/>
        <rFont val="ＭＳ Ｐゴシック"/>
        <family val="2"/>
        <charset val="128"/>
        <scheme val="minor"/>
      </rPr>
      <t>回答
（禁煙への関心）</t>
    </r>
    <rPh sb="0" eb="2">
      <t>シツモン</t>
    </rPh>
    <rPh sb="6" eb="8">
      <t>カイトウ</t>
    </rPh>
    <rPh sb="10" eb="12">
      <t>キンエン</t>
    </rPh>
    <rPh sb="14" eb="16">
      <t>カンシン</t>
    </rPh>
    <phoneticPr fontId="1"/>
  </si>
  <si>
    <r>
      <rPr>
        <sz val="10"/>
        <color indexed="10"/>
        <rFont val="ＭＳ ゴシック"/>
        <family val="3"/>
        <charset val="128"/>
      </rPr>
      <t>質問D-25</t>
    </r>
    <r>
      <rPr>
        <sz val="11"/>
        <color theme="1"/>
        <rFont val="ＭＳ Ｐゴシック"/>
        <family val="2"/>
        <charset val="128"/>
        <scheme val="minor"/>
      </rPr>
      <t>回答
（ストレス）</t>
    </r>
    <rPh sb="0" eb="2">
      <t>シツモン</t>
    </rPh>
    <rPh sb="6" eb="8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</si>
  <si>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質問D-26</t>
    </r>
    <r>
      <rPr>
        <sz val="11"/>
        <color theme="1"/>
        <rFont val="ＭＳ Ｐゴシック"/>
        <family val="2"/>
        <charset val="128"/>
        <scheme val="minor"/>
      </rPr>
      <t>回答
（ストレス解消法）</t>
    </r>
    <rPh sb="0" eb="2">
      <t>シツモン</t>
    </rPh>
    <rPh sb="6" eb="8">
      <t>カイトウ</t>
    </rPh>
    <phoneticPr fontId="1"/>
  </si>
  <si>
    <t>質問D-27回答
（改善意思）</t>
  </si>
  <si>
    <t>質問D-28回答
（指導希望）</t>
  </si>
  <si>
    <t>質問D-29回答
（体重測定）</t>
    <rPh sb="0" eb="2">
      <t>シツモン</t>
    </rPh>
    <rPh sb="6" eb="8">
      <t>カイトウ</t>
    </rPh>
    <rPh sb="10" eb="12">
      <t>タイジュウ</t>
    </rPh>
    <rPh sb="12" eb="14">
      <t>ソクテイ</t>
    </rPh>
    <phoneticPr fontId="1"/>
  </si>
  <si>
    <t>質問D-30回答
（転倒）</t>
    <rPh sb="0" eb="2">
      <t>シツモン</t>
    </rPh>
    <rPh sb="6" eb="8">
      <t>カイトウ</t>
    </rPh>
    <rPh sb="10" eb="12">
      <t>テントウ</t>
    </rPh>
    <phoneticPr fontId="1"/>
  </si>
  <si>
    <t>質問E-1回答
（乳がん）</t>
    <rPh sb="9" eb="10">
      <t>ニュウ</t>
    </rPh>
    <phoneticPr fontId="1"/>
  </si>
  <si>
    <t>質問E-2回答
（子宮頸がん）</t>
    <rPh sb="9" eb="11">
      <t>シキュウ</t>
    </rPh>
    <rPh sb="11" eb="12">
      <t>ケイ</t>
    </rPh>
    <phoneticPr fontId="1"/>
  </si>
  <si>
    <t>質問E-3回答
（胃がん）</t>
    <rPh sb="9" eb="10">
      <t>イ</t>
    </rPh>
    <phoneticPr fontId="1"/>
  </si>
  <si>
    <t>質問E-4回答
（歯科健診）</t>
    <rPh sb="9" eb="11">
      <t>シカ</t>
    </rPh>
    <rPh sb="11" eb="13">
      <t>ケンシン</t>
    </rPh>
    <phoneticPr fontId="1"/>
  </si>
  <si>
    <t>問診処理グループ</t>
    <rPh sb="0" eb="2">
      <t>モンシン</t>
    </rPh>
    <rPh sb="2" eb="4">
      <t>ショリ</t>
    </rPh>
    <phoneticPr fontId="1"/>
  </si>
  <si>
    <t>問診健診機関コード</t>
    <rPh sb="0" eb="2">
      <t>モンシン</t>
    </rPh>
    <rPh sb="2" eb="4">
      <t>ケンシン</t>
    </rPh>
    <rPh sb="4" eb="6">
      <t>キカン</t>
    </rPh>
    <phoneticPr fontId="1"/>
  </si>
  <si>
    <t>共通問診日付</t>
  </si>
  <si>
    <t>A</t>
    <phoneticPr fontId="3"/>
  </si>
  <si>
    <t>B</t>
    <phoneticPr fontId="3"/>
  </si>
  <si>
    <t>C</t>
    <phoneticPr fontId="3"/>
  </si>
  <si>
    <t>D</t>
    <phoneticPr fontId="3"/>
  </si>
  <si>
    <t>E</t>
    <phoneticPr fontId="3"/>
  </si>
  <si>
    <t>F</t>
    <phoneticPr fontId="3"/>
  </si>
  <si>
    <t>Id</t>
  </si>
  <si>
    <t>CreatedDate</t>
  </si>
  <si>
    <t>CreatedBy</t>
  </si>
  <si>
    <t>UpdatedDate</t>
  </si>
  <si>
    <t>UpdatedBy</t>
  </si>
  <si>
    <t>Name</t>
  </si>
  <si>
    <t>Description</t>
  </si>
  <si>
    <t>NULL</t>
  </si>
  <si>
    <t>hungnt03</t>
  </si>
  <si>
    <t>Thực phẩm</t>
  </si>
  <si>
    <r>
      <t>R</t>
    </r>
    <r>
      <rPr>
        <sz val="11"/>
        <color theme="1"/>
        <rFont val="ＭＳ Ｐゴシック"/>
        <family val="2"/>
        <scheme val="minor"/>
      </rPr>
      <t>ư</t>
    </r>
    <r>
      <rPr>
        <sz val="11"/>
        <color theme="1"/>
        <rFont val="ＭＳ Ｐゴシック"/>
        <family val="2"/>
        <charset val="128"/>
        <scheme val="minor"/>
      </rPr>
      <t>ợu bia</t>
    </r>
  </si>
  <si>
    <t>Thuốc lá</t>
  </si>
  <si>
    <t>2019-12-06 16:12:42.9904915</t>
  </si>
  <si>
    <t>2019-12-05 16:39:00.9434101</t>
  </si>
  <si>
    <t>13</t>
  </si>
  <si>
    <t>2019-12-03 14:10:31.6488139</t>
  </si>
  <si>
    <t>Address</t>
  </si>
  <si>
    <t>Contact</t>
  </si>
  <si>
    <t>2019-12-07 15:07:51.2945161</t>
  </si>
  <si>
    <t>Customer</t>
    <phoneticPr fontId="3"/>
  </si>
  <si>
    <t>Barcode</t>
  </si>
  <si>
    <t>Quantity</t>
  </si>
  <si>
    <t>Price</t>
  </si>
  <si>
    <t>CategoryId</t>
  </si>
  <si>
    <t>SupplierId</t>
  </si>
  <si>
    <t>Pin</t>
  </si>
  <si>
    <t>Enable</t>
  </si>
  <si>
    <t>ExpirationDate</t>
  </si>
  <si>
    <t>Unit</t>
  </si>
  <si>
    <t>Img</t>
  </si>
  <si>
    <t>3110354325000</t>
  </si>
  <si>
    <t>2019-12-09 16:24:03.5960342</t>
  </si>
  <si>
    <t>Thuốc lá Thăng Long</t>
  </si>
  <si>
    <t>12</t>
  </si>
  <si>
    <t>10000.00</t>
  </si>
  <si>
    <t>2019-12-09 00:00:00.0000000</t>
  </si>
  <si>
    <t>Bao</t>
  </si>
  <si>
    <t>Assert\Product\3110354325000.jpg</t>
  </si>
  <si>
    <t>Contact1</t>
  </si>
  <si>
    <t>Contact2</t>
  </si>
  <si>
    <t>2019-12-11 00:00:00.0000000</t>
  </si>
  <si>
    <t>Thuỷ bibica</t>
  </si>
  <si>
    <t>bibica</t>
  </si>
  <si>
    <t>0963123192</t>
  </si>
  <si>
    <t>01697714415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</si>
</sst>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name val="HGP創英角ｺﾞｼｯｸUB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66675</xdr:rowOff>
        </xdr:from>
        <xdr:to>
          <xdr:col>3</xdr:col>
          <xdr:colOff>161925</xdr:colOff>
          <xdr:row>0</xdr:row>
          <xdr:rowOff>285750</xdr:rowOff>
        </xdr:to>
        <xdr:sp macro="" textlink="">
          <xdr:nvSpPr>
            <xdr:cNvPr id="1028" name="btn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85725</xdr:rowOff>
        </xdr:from>
        <xdr:to>
          <xdr:col>4</xdr:col>
          <xdr:colOff>295275</xdr:colOff>
          <xdr:row>0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47625</xdr:rowOff>
        </xdr:from>
        <xdr:to>
          <xdr:col>2</xdr:col>
          <xdr:colOff>228600</xdr:colOff>
          <xdr:row>0</xdr:row>
          <xdr:rowOff>295275</xdr:rowOff>
        </xdr:to>
        <xdr:sp macro="" textlink="">
          <xdr:nvSpPr>
            <xdr:cNvPr id="1037" name="cmb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29"/>
  <sheetViews>
    <sheetView workbookViewId="0">
      <selection activeCell="I7" sqref="I7"/>
    </sheetView>
  </sheetViews>
  <sheetFormatPr defaultRowHeight="13.5" x14ac:dyDescent="0.15"/>
  <sheetData>
    <row r="1" spans="1:13" ht="27.7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15">
      <c r="A2" t="s">
        <v>348</v>
      </c>
      <c r="B2" t="s">
        <v>349</v>
      </c>
      <c r="C2" t="s">
        <v>350</v>
      </c>
      <c r="D2" t="s">
        <v>351</v>
      </c>
      <c r="E2" t="s">
        <v>352</v>
      </c>
      <c r="F2" t="s">
        <v>353</v>
      </c>
    </row>
    <row r="3" spans="1:13" x14ac:dyDescent="0.15">
      <c r="A3" t="s">
        <v>0</v>
      </c>
      <c r="B3" t="s">
        <v>3</v>
      </c>
      <c r="D3" t="str">
        <f>A3&amp;B3</f>
        <v>1すりガラス陰影</v>
      </c>
      <c r="E3" t="s">
        <v>92</v>
      </c>
      <c r="F3" t="s">
        <v>145</v>
      </c>
    </row>
    <row r="4" spans="1:13" x14ac:dyDescent="0.15">
      <c r="A4" t="s">
        <v>0</v>
      </c>
      <c r="B4" t="s">
        <v>4</v>
      </c>
      <c r="D4" t="str">
        <f t="shared" ref="D4:D67" si="0">A4&amp;B4</f>
        <v>1塊状陰影</v>
      </c>
      <c r="E4" t="s">
        <v>93</v>
      </c>
      <c r="F4" t="s">
        <v>146</v>
      </c>
    </row>
    <row r="5" spans="1:13" x14ac:dyDescent="0.15">
      <c r="A5" t="s">
        <v>0</v>
      </c>
      <c r="B5" t="s">
        <v>5</v>
      </c>
      <c r="D5" t="str">
        <f t="shared" si="0"/>
        <v>1奇静脈葉</v>
      </c>
      <c r="E5" t="s">
        <v>94</v>
      </c>
      <c r="F5" t="s">
        <v>147</v>
      </c>
    </row>
    <row r="6" spans="1:13" x14ac:dyDescent="0.15">
      <c r="A6" t="s">
        <v>0</v>
      </c>
      <c r="B6" t="s">
        <v>6</v>
      </c>
      <c r="D6" t="str">
        <f t="shared" si="0"/>
        <v>1気胸</v>
      </c>
      <c r="E6" t="s">
        <v>95</v>
      </c>
      <c r="F6" t="s">
        <v>148</v>
      </c>
    </row>
    <row r="7" spans="1:13" x14ac:dyDescent="0.15">
      <c r="A7" t="s">
        <v>0</v>
      </c>
      <c r="B7" t="s">
        <v>7</v>
      </c>
      <c r="D7" t="str">
        <f t="shared" si="0"/>
        <v>1胸膜石灰化</v>
      </c>
      <c r="E7" t="s">
        <v>96</v>
      </c>
      <c r="F7" t="s">
        <v>149</v>
      </c>
    </row>
    <row r="8" spans="1:13" x14ac:dyDescent="0.15">
      <c r="A8" t="s">
        <v>0</v>
      </c>
      <c r="B8" t="s">
        <v>8</v>
      </c>
      <c r="D8" t="str">
        <f t="shared" si="0"/>
        <v>1空洞陰影</v>
      </c>
      <c r="E8" t="s">
        <v>97</v>
      </c>
      <c r="F8" t="s">
        <v>150</v>
      </c>
    </row>
    <row r="9" spans="1:13" x14ac:dyDescent="0.15">
      <c r="A9" t="s">
        <v>0</v>
      </c>
      <c r="B9" t="s">
        <v>9</v>
      </c>
      <c r="D9" t="str">
        <f t="shared" si="0"/>
        <v>1帯状陰影</v>
      </c>
      <c r="E9" t="s">
        <v>92</v>
      </c>
      <c r="F9" t="s">
        <v>151</v>
      </c>
    </row>
    <row r="10" spans="1:13" x14ac:dyDescent="0.15">
      <c r="A10" t="s">
        <v>0</v>
      </c>
      <c r="B10" t="s">
        <v>10</v>
      </c>
      <c r="D10" t="str">
        <f t="shared" si="0"/>
        <v>1肺気腫</v>
      </c>
      <c r="E10" t="s">
        <v>92</v>
      </c>
      <c r="F10" t="s">
        <v>152</v>
      </c>
    </row>
    <row r="11" spans="1:13" x14ac:dyDescent="0.15">
      <c r="A11" t="s">
        <v>0</v>
      </c>
      <c r="B11" t="s">
        <v>11</v>
      </c>
      <c r="D11" t="str">
        <f t="shared" si="0"/>
        <v>1疑い</v>
      </c>
      <c r="E11" t="s">
        <v>134</v>
      </c>
      <c r="F11" t="s">
        <v>153</v>
      </c>
    </row>
    <row r="12" spans="1:13" x14ac:dyDescent="0.15">
      <c r="A12" t="s">
        <v>0</v>
      </c>
      <c r="B12" t="s">
        <v>12</v>
      </c>
      <c r="D12" t="str">
        <f t="shared" si="0"/>
        <v>1異物</v>
      </c>
      <c r="E12" t="s">
        <v>98</v>
      </c>
      <c r="F12" t="s">
        <v>154</v>
      </c>
    </row>
    <row r="13" spans="1:13" x14ac:dyDescent="0.15">
      <c r="A13" t="s">
        <v>0</v>
      </c>
      <c r="B13" t="s">
        <v>13</v>
      </c>
      <c r="D13" t="str">
        <f t="shared" si="0"/>
        <v>1気胸疑い</v>
      </c>
      <c r="E13" t="s">
        <v>95</v>
      </c>
      <c r="F13" t="s">
        <v>155</v>
      </c>
    </row>
    <row r="14" spans="1:13" x14ac:dyDescent="0.15">
      <c r="A14" t="s">
        <v>0</v>
      </c>
      <c r="B14" t="s">
        <v>14</v>
      </c>
      <c r="D14" t="str">
        <f t="shared" si="0"/>
        <v>1肺気腫疑い</v>
      </c>
      <c r="E14" t="s">
        <v>92</v>
      </c>
      <c r="F14" t="s">
        <v>156</v>
      </c>
    </row>
    <row r="15" spans="1:13" x14ac:dyDescent="0.15">
      <c r="A15" t="s">
        <v>1</v>
      </c>
      <c r="B15" t="s">
        <v>15</v>
      </c>
      <c r="D15" t="str">
        <f t="shared" si="0"/>
        <v>2ステント留置</v>
      </c>
      <c r="E15" t="s">
        <v>99</v>
      </c>
      <c r="F15" t="s">
        <v>157</v>
      </c>
    </row>
    <row r="16" spans="1:13" x14ac:dyDescent="0.15">
      <c r="A16" t="s">
        <v>1</v>
      </c>
      <c r="B16" t="s">
        <v>16</v>
      </c>
      <c r="D16" t="str">
        <f t="shared" si="0"/>
        <v>2医療機器装置</v>
      </c>
      <c r="E16" t="s">
        <v>100</v>
      </c>
      <c r="F16" t="s">
        <v>158</v>
      </c>
    </row>
    <row r="17" spans="1:6" x14ac:dyDescent="0.15">
      <c r="A17" t="s">
        <v>1</v>
      </c>
      <c r="B17" t="s">
        <v>17</v>
      </c>
      <c r="D17" t="str">
        <f t="shared" si="0"/>
        <v>2右胸心</v>
      </c>
      <c r="E17" t="s">
        <v>101</v>
      </c>
      <c r="F17" t="s">
        <v>159</v>
      </c>
    </row>
    <row r="18" spans="1:6" x14ac:dyDescent="0.15">
      <c r="A18" t="s">
        <v>1</v>
      </c>
      <c r="B18" t="s">
        <v>18</v>
      </c>
      <c r="D18" t="str">
        <f t="shared" si="0"/>
        <v>2心拡大</v>
      </c>
      <c r="E18" t="s">
        <v>102</v>
      </c>
      <c r="F18" t="s">
        <v>160</v>
      </c>
    </row>
    <row r="19" spans="1:6" x14ac:dyDescent="0.15">
      <c r="A19" t="s">
        <v>1</v>
      </c>
      <c r="B19" t="s">
        <v>19</v>
      </c>
      <c r="D19" t="str">
        <f t="shared" si="0"/>
        <v>2大動脈の拡張像</v>
      </c>
      <c r="E19" t="s">
        <v>103</v>
      </c>
      <c r="F19" t="s">
        <v>161</v>
      </c>
    </row>
    <row r="20" spans="1:6" x14ac:dyDescent="0.15">
      <c r="A20" t="s">
        <v>1</v>
      </c>
      <c r="B20" t="s">
        <v>20</v>
      </c>
      <c r="D20" t="str">
        <f t="shared" si="0"/>
        <v>2大動脈弓の突出</v>
      </c>
      <c r="E20" t="s">
        <v>104</v>
      </c>
      <c r="F20" t="s">
        <v>162</v>
      </c>
    </row>
    <row r="21" spans="1:6" x14ac:dyDescent="0.15">
      <c r="A21" t="s">
        <v>1</v>
      </c>
      <c r="B21" t="s">
        <v>21</v>
      </c>
      <c r="D21" t="str">
        <f t="shared" si="0"/>
        <v>2大動脈蛇行</v>
      </c>
      <c r="E21" t="s">
        <v>105</v>
      </c>
      <c r="F21" t="s">
        <v>163</v>
      </c>
    </row>
    <row r="22" spans="1:6" x14ac:dyDescent="0.15">
      <c r="A22" t="s">
        <v>1</v>
      </c>
      <c r="B22" t="s">
        <v>22</v>
      </c>
      <c r="D22" t="str">
        <f t="shared" si="0"/>
        <v>2大動脈術後</v>
      </c>
      <c r="E22" t="s">
        <v>106</v>
      </c>
      <c r="F22" t="s">
        <v>164</v>
      </c>
    </row>
    <row r="23" spans="1:6" x14ac:dyDescent="0.15">
      <c r="A23" t="s">
        <v>1</v>
      </c>
      <c r="B23" t="s">
        <v>23</v>
      </c>
      <c r="D23" t="str">
        <f t="shared" si="0"/>
        <v>2大動脈石灰化</v>
      </c>
      <c r="E23" t="s">
        <v>107</v>
      </c>
      <c r="F23" t="s">
        <v>165</v>
      </c>
    </row>
    <row r="24" spans="1:6" x14ac:dyDescent="0.15">
      <c r="A24" t="s">
        <v>1</v>
      </c>
      <c r="B24" t="s">
        <v>24</v>
      </c>
      <c r="D24" t="str">
        <f t="shared" si="0"/>
        <v>2大動脈瘤</v>
      </c>
      <c r="E24" t="s">
        <v>103</v>
      </c>
      <c r="F24" t="s">
        <v>166</v>
      </c>
    </row>
    <row r="25" spans="1:6" x14ac:dyDescent="0.15">
      <c r="A25" t="s">
        <v>1</v>
      </c>
      <c r="B25" t="s">
        <v>11</v>
      </c>
      <c r="D25" t="str">
        <f t="shared" si="0"/>
        <v>2疑い</v>
      </c>
      <c r="E25" t="s">
        <v>134</v>
      </c>
      <c r="F25" t="s">
        <v>167</v>
      </c>
    </row>
    <row r="26" spans="1:6" x14ac:dyDescent="0.15">
      <c r="A26" t="s">
        <v>1</v>
      </c>
      <c r="B26" t="s">
        <v>25</v>
      </c>
      <c r="D26" t="str">
        <f t="shared" si="0"/>
        <v>2大動脈瘤疑い</v>
      </c>
      <c r="E26" t="s">
        <v>103</v>
      </c>
      <c r="F26" t="s">
        <v>168</v>
      </c>
    </row>
    <row r="27" spans="1:6" x14ac:dyDescent="0.15">
      <c r="A27" t="s">
        <v>2</v>
      </c>
      <c r="B27" t="s">
        <v>26</v>
      </c>
      <c r="D27" t="str">
        <f t="shared" si="0"/>
        <v>3脊椎側弯</v>
      </c>
      <c r="E27" t="s">
        <v>108</v>
      </c>
      <c r="F27" t="s">
        <v>169</v>
      </c>
    </row>
    <row r="28" spans="1:6" x14ac:dyDescent="0.15">
      <c r="A28" t="s">
        <v>2</v>
      </c>
      <c r="B28" t="s">
        <v>27</v>
      </c>
      <c r="D28" t="str">
        <f t="shared" si="0"/>
        <v>3胸部術後</v>
      </c>
      <c r="E28" t="s">
        <v>106</v>
      </c>
      <c r="F28" t="s">
        <v>170</v>
      </c>
    </row>
    <row r="29" spans="1:6" x14ac:dyDescent="0.15">
      <c r="A29" t="s">
        <v>2</v>
      </c>
      <c r="B29" t="s">
        <v>28</v>
      </c>
      <c r="D29" t="str">
        <f t="shared" si="0"/>
        <v>3肋骨骨折後</v>
      </c>
      <c r="E29" t="s">
        <v>109</v>
      </c>
      <c r="F29" t="s">
        <v>171</v>
      </c>
    </row>
    <row r="30" spans="1:6" x14ac:dyDescent="0.15">
      <c r="A30" t="s">
        <v>2</v>
      </c>
      <c r="B30" t="s">
        <v>29</v>
      </c>
      <c r="D30" t="str">
        <f t="shared" si="0"/>
        <v>3肋骨の変形</v>
      </c>
      <c r="E30" t="s">
        <v>110</v>
      </c>
      <c r="F30" t="s">
        <v>172</v>
      </c>
    </row>
    <row r="31" spans="1:6" x14ac:dyDescent="0.15">
      <c r="A31" t="s">
        <v>2</v>
      </c>
      <c r="B31" t="s">
        <v>30</v>
      </c>
      <c r="D31" t="str">
        <f t="shared" si="0"/>
        <v>3肋骨異常</v>
      </c>
      <c r="E31" t="s">
        <v>92</v>
      </c>
      <c r="F31" t="s">
        <v>173</v>
      </c>
    </row>
    <row r="32" spans="1:6" x14ac:dyDescent="0.15">
      <c r="A32" t="s">
        <v>2</v>
      </c>
      <c r="B32" t="s">
        <v>31</v>
      </c>
      <c r="D32" t="str">
        <f t="shared" si="0"/>
        <v>3肋骨島</v>
      </c>
      <c r="E32" t="s">
        <v>111</v>
      </c>
      <c r="F32" t="s">
        <v>174</v>
      </c>
    </row>
    <row r="33" spans="1:6" x14ac:dyDescent="0.15">
      <c r="A33" t="s">
        <v>2</v>
      </c>
      <c r="B33" t="s">
        <v>32</v>
      </c>
      <c r="D33" t="str">
        <f t="shared" si="0"/>
        <v>3頚肋</v>
      </c>
      <c r="E33" t="s">
        <v>110</v>
      </c>
      <c r="F33" t="s">
        <v>175</v>
      </c>
    </row>
    <row r="34" spans="1:6" x14ac:dyDescent="0.15">
      <c r="A34" t="s">
        <v>2</v>
      </c>
      <c r="B34" t="s">
        <v>33</v>
      </c>
      <c r="D34" t="str">
        <f t="shared" si="0"/>
        <v>3乳房術後</v>
      </c>
      <c r="E34" t="s">
        <v>112</v>
      </c>
      <c r="F34" t="s">
        <v>176</v>
      </c>
    </row>
    <row r="35" spans="1:6" x14ac:dyDescent="0.15">
      <c r="A35" t="s">
        <v>2</v>
      </c>
      <c r="B35" t="s">
        <v>34</v>
      </c>
      <c r="D35" t="str">
        <f t="shared" si="0"/>
        <v>3内臓逆位</v>
      </c>
      <c r="E35" t="s">
        <v>113</v>
      </c>
      <c r="F35" t="s">
        <v>177</v>
      </c>
    </row>
    <row r="36" spans="1:6" x14ac:dyDescent="0.15">
      <c r="A36" t="s">
        <v>2</v>
      </c>
      <c r="B36" t="s">
        <v>12</v>
      </c>
      <c r="D36" t="str">
        <f t="shared" si="0"/>
        <v>3異物</v>
      </c>
      <c r="E36" t="s">
        <v>98</v>
      </c>
      <c r="F36" t="s">
        <v>178</v>
      </c>
    </row>
    <row r="37" spans="1:6" x14ac:dyDescent="0.15">
      <c r="A37" t="s">
        <v>2</v>
      </c>
      <c r="B37" t="s">
        <v>15</v>
      </c>
      <c r="D37" t="str">
        <f t="shared" si="0"/>
        <v>3ステント留置</v>
      </c>
      <c r="E37" t="s">
        <v>99</v>
      </c>
      <c r="F37" t="s">
        <v>179</v>
      </c>
    </row>
    <row r="38" spans="1:6" x14ac:dyDescent="0.15">
      <c r="A38" t="s">
        <v>2</v>
      </c>
      <c r="B38" t="s">
        <v>35</v>
      </c>
      <c r="D38" t="str">
        <f t="shared" si="0"/>
        <v>3ポート留置</v>
      </c>
      <c r="E38" t="s">
        <v>100</v>
      </c>
      <c r="F38" t="s">
        <v>180</v>
      </c>
    </row>
    <row r="39" spans="1:6" x14ac:dyDescent="0.15">
      <c r="A39" t="s">
        <v>2</v>
      </c>
      <c r="B39" t="s">
        <v>16</v>
      </c>
      <c r="D39" t="str">
        <f t="shared" si="0"/>
        <v>3医療機器装置</v>
      </c>
      <c r="E39" t="s">
        <v>100</v>
      </c>
      <c r="F39" t="s">
        <v>181</v>
      </c>
    </row>
    <row r="40" spans="1:6" x14ac:dyDescent="0.15">
      <c r="A40" t="s">
        <v>2</v>
      </c>
      <c r="B40" t="s">
        <v>36</v>
      </c>
      <c r="D40" t="str">
        <f t="shared" si="0"/>
        <v>3気管偏位</v>
      </c>
      <c r="E40" t="s">
        <v>114</v>
      </c>
      <c r="F40" t="s">
        <v>182</v>
      </c>
    </row>
    <row r="41" spans="1:6" x14ac:dyDescent="0.15">
      <c r="A41" t="s">
        <v>2</v>
      </c>
      <c r="B41" t="s">
        <v>37</v>
      </c>
      <c r="D41" t="str">
        <f t="shared" si="0"/>
        <v>3気管偏位　要耳鼻科受診</v>
      </c>
      <c r="E41" t="s">
        <v>114</v>
      </c>
      <c r="F41" t="s">
        <v>183</v>
      </c>
    </row>
    <row r="42" spans="1:6" x14ac:dyDescent="0.15">
      <c r="A42" t="s">
        <v>2</v>
      </c>
      <c r="B42" t="s">
        <v>38</v>
      </c>
      <c r="D42" t="str">
        <f t="shared" si="0"/>
        <v>3キライディティ症候群</v>
      </c>
      <c r="E42" t="s">
        <v>92</v>
      </c>
      <c r="F42" t="s">
        <v>184</v>
      </c>
    </row>
    <row r="43" spans="1:6" x14ac:dyDescent="0.15">
      <c r="A43" t="s">
        <v>2</v>
      </c>
      <c r="B43" t="s">
        <v>39</v>
      </c>
      <c r="D43" t="str">
        <f t="shared" si="0"/>
        <v>3胸水</v>
      </c>
      <c r="E43" t="s">
        <v>115</v>
      </c>
      <c r="F43" t="s">
        <v>185</v>
      </c>
    </row>
    <row r="44" spans="1:6" x14ac:dyDescent="0.15">
      <c r="A44" t="s">
        <v>2</v>
      </c>
      <c r="B44" t="s">
        <v>40</v>
      </c>
      <c r="D44" t="str">
        <f t="shared" si="0"/>
        <v>3食道裂孔ヘルニア</v>
      </c>
      <c r="E44" t="s">
        <v>116</v>
      </c>
      <c r="F44" t="s">
        <v>186</v>
      </c>
    </row>
    <row r="45" spans="1:6" x14ac:dyDescent="0.15">
      <c r="A45" t="s">
        <v>2</v>
      </c>
      <c r="B45" t="s">
        <v>41</v>
      </c>
      <c r="D45" t="str">
        <f t="shared" si="0"/>
        <v>3漏斗胸</v>
      </c>
      <c r="E45" t="s">
        <v>117</v>
      </c>
      <c r="F45" t="s">
        <v>187</v>
      </c>
    </row>
    <row r="46" spans="1:6" x14ac:dyDescent="0.15">
      <c r="A46" t="s">
        <v>2</v>
      </c>
      <c r="B46" t="s">
        <v>42</v>
      </c>
      <c r="D46" t="str">
        <f t="shared" si="0"/>
        <v>3鎖骨骨折後</v>
      </c>
      <c r="E46" t="s">
        <v>118</v>
      </c>
      <c r="F46" t="s">
        <v>188</v>
      </c>
    </row>
    <row r="47" spans="1:6" x14ac:dyDescent="0.15">
      <c r="A47" t="s">
        <v>2</v>
      </c>
      <c r="B47" t="s">
        <v>43</v>
      </c>
      <c r="D47" t="str">
        <f t="shared" si="0"/>
        <v>3バリウム残留</v>
      </c>
      <c r="E47" t="s">
        <v>119</v>
      </c>
      <c r="F47" t="s">
        <v>189</v>
      </c>
    </row>
    <row r="48" spans="1:6" x14ac:dyDescent="0.15">
      <c r="A48" t="s">
        <v>2</v>
      </c>
      <c r="B48" t="s">
        <v>44</v>
      </c>
      <c r="D48" t="str">
        <f t="shared" si="0"/>
        <v>3リンパ節腫大</v>
      </c>
      <c r="E48" t="s">
        <v>120</v>
      </c>
      <c r="F48" t="s">
        <v>190</v>
      </c>
    </row>
    <row r="49" spans="1:6" x14ac:dyDescent="0.15">
      <c r="A49" t="s">
        <v>2</v>
      </c>
      <c r="B49" t="s">
        <v>45</v>
      </c>
      <c r="D49" t="str">
        <f t="shared" si="0"/>
        <v>3リンパ節石灰化</v>
      </c>
      <c r="E49" t="s">
        <v>121</v>
      </c>
      <c r="F49" t="s">
        <v>191</v>
      </c>
    </row>
    <row r="50" spans="1:6" x14ac:dyDescent="0.15">
      <c r="A50" t="s">
        <v>2</v>
      </c>
      <c r="B50" t="s">
        <v>46</v>
      </c>
      <c r="D50" t="str">
        <f t="shared" si="0"/>
        <v>3胸膜プラーク</v>
      </c>
      <c r="E50" t="s">
        <v>122</v>
      </c>
      <c r="F50" t="s">
        <v>192</v>
      </c>
    </row>
    <row r="51" spans="1:6" ht="18.75" x14ac:dyDescent="0.15">
      <c r="A51" t="s">
        <v>2</v>
      </c>
      <c r="B51" t="s">
        <v>47</v>
      </c>
      <c r="D51" t="str">
        <f t="shared" si="0"/>
        <v>3横隔膜プラーク</v>
      </c>
      <c r="E51" t="s">
        <v>92</v>
      </c>
      <c r="F51" t="s">
        <v>193</v>
      </c>
    </row>
    <row r="52" spans="1:6" x14ac:dyDescent="0.15">
      <c r="A52" t="s">
        <v>2</v>
      </c>
      <c r="B52" t="s">
        <v>48</v>
      </c>
      <c r="D52" t="str">
        <f t="shared" si="0"/>
        <v>3横隔膜ヘルニア</v>
      </c>
      <c r="E52" t="s">
        <v>123</v>
      </c>
      <c r="F52" t="s">
        <v>194</v>
      </c>
    </row>
    <row r="53" spans="1:6" x14ac:dyDescent="0.15">
      <c r="A53" t="s">
        <v>2</v>
      </c>
      <c r="B53" t="s">
        <v>49</v>
      </c>
      <c r="D53" t="str">
        <f t="shared" si="0"/>
        <v>3気管狭窄</v>
      </c>
      <c r="E53" t="s">
        <v>124</v>
      </c>
      <c r="F53" t="s">
        <v>195</v>
      </c>
    </row>
    <row r="54" spans="1:6" x14ac:dyDescent="0.15">
      <c r="A54" t="s">
        <v>2</v>
      </c>
      <c r="B54" t="s">
        <v>50</v>
      </c>
      <c r="D54" t="str">
        <f t="shared" si="0"/>
        <v>3気管支拡張像</v>
      </c>
      <c r="E54" t="s">
        <v>125</v>
      </c>
    </row>
    <row r="55" spans="1:6" x14ac:dyDescent="0.15">
      <c r="A55" t="s">
        <v>2</v>
      </c>
      <c r="B55" t="s">
        <v>51</v>
      </c>
      <c r="D55" t="str">
        <f t="shared" si="0"/>
        <v>3胸郭形成術後</v>
      </c>
      <c r="E55" t="s">
        <v>126</v>
      </c>
      <c r="F55" t="s">
        <v>196</v>
      </c>
    </row>
    <row r="56" spans="1:6" x14ac:dyDescent="0.15">
      <c r="A56" t="s">
        <v>2</v>
      </c>
      <c r="B56" t="s">
        <v>52</v>
      </c>
      <c r="D56" t="str">
        <f t="shared" si="0"/>
        <v>3胸郭変形</v>
      </c>
      <c r="E56" t="s">
        <v>127</v>
      </c>
    </row>
    <row r="57" spans="1:6" x14ac:dyDescent="0.15">
      <c r="A57" t="s">
        <v>2</v>
      </c>
      <c r="B57" t="s">
        <v>53</v>
      </c>
      <c r="D57" t="str">
        <f t="shared" si="0"/>
        <v>3甲状腺腫瘍</v>
      </c>
      <c r="E57" t="s">
        <v>92</v>
      </c>
      <c r="F57" t="s">
        <v>197</v>
      </c>
    </row>
    <row r="58" spans="1:6" x14ac:dyDescent="0.15">
      <c r="A58" t="s">
        <v>2</v>
      </c>
      <c r="B58" t="s">
        <v>54</v>
      </c>
      <c r="D58" t="str">
        <f t="shared" si="0"/>
        <v>3縦隔腫瘍</v>
      </c>
      <c r="E58" t="s">
        <v>128</v>
      </c>
      <c r="F58" t="s">
        <v>198</v>
      </c>
    </row>
    <row r="59" spans="1:6" x14ac:dyDescent="0.15">
      <c r="A59" t="s">
        <v>2</v>
      </c>
      <c r="B59" t="s">
        <v>55</v>
      </c>
      <c r="D59" t="str">
        <f t="shared" si="0"/>
        <v>3縦隔石灰化</v>
      </c>
      <c r="E59" t="s">
        <v>129</v>
      </c>
      <c r="F59" t="s">
        <v>199</v>
      </c>
    </row>
    <row r="60" spans="1:6" x14ac:dyDescent="0.15">
      <c r="A60" t="s">
        <v>2</v>
      </c>
      <c r="B60" t="s">
        <v>56</v>
      </c>
      <c r="D60" t="str">
        <f t="shared" si="0"/>
        <v>3変形性脊椎症</v>
      </c>
      <c r="E60" t="s">
        <v>130</v>
      </c>
      <c r="F60" t="s">
        <v>200</v>
      </c>
    </row>
    <row r="61" spans="1:6" x14ac:dyDescent="0.15">
      <c r="A61" t="s">
        <v>2</v>
      </c>
      <c r="B61" t="s">
        <v>57</v>
      </c>
      <c r="D61" t="str">
        <f t="shared" si="0"/>
        <v>3脊椎術後</v>
      </c>
      <c r="E61" t="s">
        <v>106</v>
      </c>
      <c r="F61" t="s">
        <v>201</v>
      </c>
    </row>
    <row r="62" spans="1:6" x14ac:dyDescent="0.15">
      <c r="A62" t="s">
        <v>2</v>
      </c>
      <c r="B62" t="s">
        <v>58</v>
      </c>
      <c r="D62" t="str">
        <f t="shared" si="0"/>
        <v>3鎖骨術後</v>
      </c>
      <c r="E62" t="s">
        <v>106</v>
      </c>
      <c r="F62" t="s">
        <v>202</v>
      </c>
    </row>
    <row r="63" spans="1:6" x14ac:dyDescent="0.15">
      <c r="A63" t="s">
        <v>2</v>
      </c>
      <c r="B63" t="s">
        <v>59</v>
      </c>
      <c r="D63" t="str">
        <f t="shared" si="0"/>
        <v>3胸壁腫瘍</v>
      </c>
      <c r="E63" t="s">
        <v>131</v>
      </c>
      <c r="F63" t="s">
        <v>203</v>
      </c>
    </row>
    <row r="64" spans="1:6" x14ac:dyDescent="0.15">
      <c r="A64" t="s">
        <v>2</v>
      </c>
      <c r="B64" t="s">
        <v>60</v>
      </c>
      <c r="D64" t="str">
        <f t="shared" si="0"/>
        <v>3要甲状腺科受診</v>
      </c>
      <c r="E64" t="s">
        <v>134</v>
      </c>
      <c r="F64" t="s">
        <v>204</v>
      </c>
    </row>
    <row r="65" spans="1:6" x14ac:dyDescent="0.15">
      <c r="A65" t="s">
        <v>2</v>
      </c>
      <c r="B65" t="s">
        <v>61</v>
      </c>
      <c r="D65" t="str">
        <f t="shared" si="0"/>
        <v>3要耳鼻科受診</v>
      </c>
      <c r="E65" t="s">
        <v>134</v>
      </c>
      <c r="F65" t="s">
        <v>205</v>
      </c>
    </row>
    <row r="66" spans="1:6" x14ac:dyDescent="0.15">
      <c r="A66" t="s">
        <v>2</v>
      </c>
      <c r="B66" t="s">
        <v>62</v>
      </c>
      <c r="D66" t="str">
        <f t="shared" si="0"/>
        <v>3要内科受診</v>
      </c>
      <c r="E66" t="s">
        <v>134</v>
      </c>
      <c r="F66" t="s">
        <v>206</v>
      </c>
    </row>
    <row r="67" spans="1:6" x14ac:dyDescent="0.15">
      <c r="A67" t="s">
        <v>2</v>
      </c>
      <c r="B67" t="s">
        <v>63</v>
      </c>
      <c r="D67" t="str">
        <f t="shared" si="0"/>
        <v>3要消化器科受診</v>
      </c>
      <c r="E67" t="s">
        <v>134</v>
      </c>
      <c r="F67" t="s">
        <v>207</v>
      </c>
    </row>
    <row r="68" spans="1:6" x14ac:dyDescent="0.15">
      <c r="A68" t="s">
        <v>2</v>
      </c>
      <c r="B68" t="s">
        <v>64</v>
      </c>
      <c r="D68" t="str">
        <f t="shared" ref="D68:D96" si="1">A68&amp;B68</f>
        <v>3要整形外科受診</v>
      </c>
      <c r="E68" t="s">
        <v>134</v>
      </c>
      <c r="F68" t="s">
        <v>208</v>
      </c>
    </row>
    <row r="69" spans="1:6" x14ac:dyDescent="0.15">
      <c r="A69" t="s">
        <v>2</v>
      </c>
      <c r="B69" t="s">
        <v>11</v>
      </c>
      <c r="D69" t="str">
        <f t="shared" si="1"/>
        <v>3疑い</v>
      </c>
      <c r="E69" t="s">
        <v>134</v>
      </c>
      <c r="F69" t="s">
        <v>209</v>
      </c>
    </row>
    <row r="70" spans="1:6" x14ac:dyDescent="0.15">
      <c r="A70" t="s">
        <v>2</v>
      </c>
      <c r="B70" t="s">
        <v>65</v>
      </c>
      <c r="D70" t="str">
        <f t="shared" si="1"/>
        <v>3肩甲骨骨折後</v>
      </c>
      <c r="E70" t="s">
        <v>92</v>
      </c>
      <c r="F70" t="s">
        <v>210</v>
      </c>
    </row>
    <row r="71" spans="1:6" x14ac:dyDescent="0.15">
      <c r="A71" t="s">
        <v>2</v>
      </c>
      <c r="B71" t="s">
        <v>66</v>
      </c>
      <c r="D71" t="str">
        <f t="shared" si="1"/>
        <v>3胸壁腫瘍疑い</v>
      </c>
      <c r="E71" t="s">
        <v>131</v>
      </c>
      <c r="F71" t="s">
        <v>211</v>
      </c>
    </row>
    <row r="72" spans="1:6" x14ac:dyDescent="0.15">
      <c r="A72" t="s">
        <v>2</v>
      </c>
      <c r="B72" t="s">
        <v>67</v>
      </c>
      <c r="D72" t="str">
        <f t="shared" si="1"/>
        <v>3脊椎変形疑い</v>
      </c>
      <c r="E72" t="s">
        <v>92</v>
      </c>
      <c r="F72" t="s">
        <v>212</v>
      </c>
    </row>
    <row r="73" spans="1:6" x14ac:dyDescent="0.15">
      <c r="A73" t="s">
        <v>2</v>
      </c>
      <c r="B73" t="s">
        <v>68</v>
      </c>
      <c r="D73" t="str">
        <f t="shared" si="1"/>
        <v>3乳房石灰化</v>
      </c>
      <c r="E73" t="s">
        <v>132</v>
      </c>
      <c r="F73" t="s">
        <v>213</v>
      </c>
    </row>
    <row r="74" spans="1:6" x14ac:dyDescent="0.15">
      <c r="A74" t="s">
        <v>2</v>
      </c>
      <c r="B74" t="s">
        <v>69</v>
      </c>
      <c r="D74" t="str">
        <f t="shared" si="1"/>
        <v>3腹部石灰化</v>
      </c>
      <c r="E74" t="s">
        <v>132</v>
      </c>
      <c r="F74" t="s">
        <v>214</v>
      </c>
    </row>
    <row r="75" spans="1:6" x14ac:dyDescent="0.15">
      <c r="A75" t="s">
        <v>2</v>
      </c>
      <c r="B75" t="s">
        <v>70</v>
      </c>
      <c r="D75" t="str">
        <f t="shared" si="1"/>
        <v>3上腕骨異常陰影</v>
      </c>
      <c r="E75" t="s">
        <v>92</v>
      </c>
      <c r="F75" t="s">
        <v>215</v>
      </c>
    </row>
    <row r="76" spans="1:6" x14ac:dyDescent="0.15">
      <c r="A76" t="s">
        <v>2</v>
      </c>
      <c r="B76" t="s">
        <v>71</v>
      </c>
      <c r="D76" t="str">
        <f t="shared" si="1"/>
        <v>3大理石病</v>
      </c>
      <c r="E76" t="s">
        <v>92</v>
      </c>
      <c r="F76" t="s">
        <v>216</v>
      </c>
    </row>
    <row r="77" spans="1:6" x14ac:dyDescent="0.15">
      <c r="A77" t="s">
        <v>2</v>
      </c>
      <c r="B77" t="s">
        <v>72</v>
      </c>
      <c r="D77" t="str">
        <f t="shared" si="1"/>
        <v>3シャントチューブ</v>
      </c>
      <c r="E77" t="s">
        <v>133</v>
      </c>
      <c r="F77" t="s">
        <v>217</v>
      </c>
    </row>
    <row r="78" spans="1:6" x14ac:dyDescent="0.15">
      <c r="A78" t="s">
        <v>2</v>
      </c>
      <c r="B78" t="s">
        <v>73</v>
      </c>
      <c r="D78" t="str">
        <f t="shared" si="1"/>
        <v>3縦隔腫瘍疑い</v>
      </c>
      <c r="E78" t="s">
        <v>128</v>
      </c>
      <c r="F78" t="s">
        <v>218</v>
      </c>
    </row>
    <row r="79" spans="1:6" x14ac:dyDescent="0.15">
      <c r="A79" t="s">
        <v>2</v>
      </c>
      <c r="B79" t="s">
        <v>74</v>
      </c>
      <c r="D79" t="str">
        <f t="shared" si="1"/>
        <v>3甲状腺腫瘍疑い</v>
      </c>
      <c r="E79" t="s">
        <v>92</v>
      </c>
      <c r="F79" t="s">
        <v>219</v>
      </c>
    </row>
    <row r="80" spans="1:6" x14ac:dyDescent="0.15">
      <c r="A80" t="s">
        <v>2</v>
      </c>
      <c r="B80" t="s">
        <v>75</v>
      </c>
      <c r="D80" t="str">
        <f t="shared" si="1"/>
        <v>3腹部ガス貯留　要消化器科受診</v>
      </c>
      <c r="E80" t="s">
        <v>92</v>
      </c>
      <c r="F80" t="s">
        <v>220</v>
      </c>
    </row>
    <row r="81" spans="1:6" x14ac:dyDescent="0.15">
      <c r="A81" t="s">
        <v>2</v>
      </c>
      <c r="B81" t="s">
        <v>76</v>
      </c>
      <c r="D81" t="str">
        <f t="shared" si="1"/>
        <v>3腹部石灰化　要内科受診</v>
      </c>
      <c r="E81" t="s">
        <v>132</v>
      </c>
      <c r="F81" t="s">
        <v>221</v>
      </c>
    </row>
    <row r="82" spans="1:6" x14ac:dyDescent="0.15">
      <c r="A82" t="s">
        <v>2</v>
      </c>
      <c r="B82" t="s">
        <v>77</v>
      </c>
      <c r="D82" t="str">
        <f t="shared" si="1"/>
        <v>3肋骨骨折後　要整形外科受診</v>
      </c>
      <c r="E82" t="s">
        <v>109</v>
      </c>
      <c r="F82" t="s">
        <v>222</v>
      </c>
    </row>
    <row r="83" spans="1:6" x14ac:dyDescent="0.15">
      <c r="A83" t="s">
        <v>2</v>
      </c>
      <c r="B83" t="s">
        <v>78</v>
      </c>
      <c r="D83" t="str">
        <f t="shared" si="1"/>
        <v>3脊椎側弯　要整形外科受診</v>
      </c>
      <c r="E83" t="s">
        <v>108</v>
      </c>
      <c r="F83" t="s">
        <v>223</v>
      </c>
    </row>
    <row r="84" spans="1:6" x14ac:dyDescent="0.15">
      <c r="A84" t="s">
        <v>2</v>
      </c>
      <c r="B84" t="s">
        <v>79</v>
      </c>
      <c r="D84" t="str">
        <f t="shared" si="1"/>
        <v>3肋骨の変形　要整形外科受診</v>
      </c>
      <c r="E84" t="s">
        <v>110</v>
      </c>
      <c r="F84" t="s">
        <v>224</v>
      </c>
    </row>
    <row r="85" spans="1:6" x14ac:dyDescent="0.15">
      <c r="A85" t="s">
        <v>2</v>
      </c>
      <c r="B85" t="s">
        <v>80</v>
      </c>
      <c r="D85" t="str">
        <f t="shared" si="1"/>
        <v>3肋骨異常　要整形外科受診</v>
      </c>
      <c r="E85" t="s">
        <v>92</v>
      </c>
      <c r="F85" t="s">
        <v>225</v>
      </c>
    </row>
    <row r="86" spans="1:6" x14ac:dyDescent="0.15">
      <c r="A86" t="s">
        <v>2</v>
      </c>
      <c r="B86" t="s">
        <v>81</v>
      </c>
      <c r="D86" t="str">
        <f t="shared" si="1"/>
        <v>3食道アカラシア疑い　要消化器科受診</v>
      </c>
      <c r="E86" t="s">
        <v>92</v>
      </c>
      <c r="F86" t="s">
        <v>226</v>
      </c>
    </row>
    <row r="87" spans="1:6" x14ac:dyDescent="0.15">
      <c r="A87" t="s">
        <v>2</v>
      </c>
      <c r="B87" t="s">
        <v>82</v>
      </c>
      <c r="D87" t="str">
        <f t="shared" si="1"/>
        <v>3食道狭窄疑い　要消化器科受診</v>
      </c>
      <c r="E87" t="s">
        <v>92</v>
      </c>
      <c r="F87" t="s">
        <v>227</v>
      </c>
    </row>
    <row r="88" spans="1:6" x14ac:dyDescent="0.15">
      <c r="A88" t="s">
        <v>2</v>
      </c>
      <c r="B88" t="s">
        <v>83</v>
      </c>
      <c r="D88" t="str">
        <f t="shared" si="1"/>
        <v>3食道裂孔ヘルニア　要消化器科受診</v>
      </c>
      <c r="E88" t="s">
        <v>116</v>
      </c>
      <c r="F88" t="s">
        <v>228</v>
      </c>
    </row>
    <row r="89" spans="1:6" x14ac:dyDescent="0.15">
      <c r="A89" t="s">
        <v>2</v>
      </c>
      <c r="B89" t="s">
        <v>84</v>
      </c>
      <c r="D89" t="str">
        <f t="shared" si="1"/>
        <v>3鎖骨骨折後　要整形外科受診</v>
      </c>
      <c r="E89" t="s">
        <v>118</v>
      </c>
      <c r="F89" t="s">
        <v>229</v>
      </c>
    </row>
    <row r="90" spans="1:6" x14ac:dyDescent="0.15">
      <c r="A90" t="s">
        <v>2</v>
      </c>
      <c r="B90" t="s">
        <v>85</v>
      </c>
      <c r="D90" t="str">
        <f t="shared" si="1"/>
        <v>3甲状腺腫瘍　要甲状腺科受診</v>
      </c>
      <c r="E90" t="s">
        <v>92</v>
      </c>
      <c r="F90" t="s">
        <v>230</v>
      </c>
    </row>
    <row r="91" spans="1:6" x14ac:dyDescent="0.15">
      <c r="A91" t="s">
        <v>2</v>
      </c>
      <c r="B91" t="s">
        <v>86</v>
      </c>
      <c r="D91" t="str">
        <f t="shared" si="1"/>
        <v>3甲状腺腫瘍疑い　要甲状腺科受診</v>
      </c>
      <c r="E91" t="s">
        <v>92</v>
      </c>
      <c r="F91" t="s">
        <v>231</v>
      </c>
    </row>
    <row r="92" spans="1:6" x14ac:dyDescent="0.15">
      <c r="A92" t="s">
        <v>2</v>
      </c>
      <c r="B92" t="s">
        <v>87</v>
      </c>
      <c r="D92" t="str">
        <f t="shared" si="1"/>
        <v>3脊椎カリエス疑い　要整形外科受診</v>
      </c>
      <c r="E92" t="s">
        <v>92</v>
      </c>
      <c r="F92" t="s">
        <v>232</v>
      </c>
    </row>
    <row r="93" spans="1:6" x14ac:dyDescent="0.15">
      <c r="A93" t="s">
        <v>2</v>
      </c>
      <c r="B93" t="s">
        <v>88</v>
      </c>
      <c r="D93" t="str">
        <f t="shared" si="1"/>
        <v>3肺野外腫瘍疑い　要皮膚科受診</v>
      </c>
      <c r="E93" t="s">
        <v>92</v>
      </c>
      <c r="F93" t="s">
        <v>233</v>
      </c>
    </row>
    <row r="94" spans="1:6" x14ac:dyDescent="0.15">
      <c r="A94" t="s">
        <v>2</v>
      </c>
      <c r="B94" t="s">
        <v>89</v>
      </c>
      <c r="D94" t="str">
        <f t="shared" si="1"/>
        <v>3肺野外腫瘍疑い　要内科受診</v>
      </c>
      <c r="E94" t="s">
        <v>92</v>
      </c>
      <c r="F94" t="s">
        <v>234</v>
      </c>
    </row>
    <row r="95" spans="1:6" x14ac:dyDescent="0.15">
      <c r="A95" t="s">
        <v>2</v>
      </c>
      <c r="B95" t="s">
        <v>90</v>
      </c>
      <c r="D95" t="str">
        <f t="shared" si="1"/>
        <v>3脊椎変形疑い　要整形外科受診</v>
      </c>
      <c r="E95" t="s">
        <v>92</v>
      </c>
      <c r="F95" t="s">
        <v>235</v>
      </c>
    </row>
    <row r="96" spans="1:6" x14ac:dyDescent="0.15">
      <c r="A96" t="s">
        <v>2</v>
      </c>
      <c r="B96" t="s">
        <v>91</v>
      </c>
      <c r="D96" t="str">
        <f t="shared" si="1"/>
        <v>3乳房石灰化　要乳腺外科</v>
      </c>
      <c r="E96" t="s">
        <v>132</v>
      </c>
      <c r="F96" t="s">
        <v>236</v>
      </c>
    </row>
    <row r="97" spans="1:6" x14ac:dyDescent="0.15">
      <c r="F97" t="s">
        <v>237</v>
      </c>
    </row>
    <row r="98" spans="1:6" x14ac:dyDescent="0.15">
      <c r="F98" t="s">
        <v>238</v>
      </c>
    </row>
    <row r="99" spans="1:6" x14ac:dyDescent="0.15">
      <c r="A99">
        <v>999</v>
      </c>
      <c r="B99" t="s">
        <v>135</v>
      </c>
      <c r="D99" t="str">
        <f>A99 &amp; B99</f>
        <v>999頻脈（心房細動・心房粗動時に使用）</v>
      </c>
      <c r="F99" t="s">
        <v>239</v>
      </c>
    </row>
    <row r="100" spans="1:6" x14ac:dyDescent="0.15">
      <c r="A100">
        <v>999</v>
      </c>
      <c r="B100" t="s">
        <v>136</v>
      </c>
      <c r="D100" t="str">
        <f t="shared" ref="D100:D108" si="2">A100 &amp; B100</f>
        <v>999徐脈（心房細動・心房粗動時に使用）</v>
      </c>
      <c r="F100" t="s">
        <v>240</v>
      </c>
    </row>
    <row r="101" spans="1:6" x14ac:dyDescent="0.15">
      <c r="A101">
        <v>999</v>
      </c>
      <c r="B101" t="s">
        <v>137</v>
      </c>
      <c r="D101" t="str">
        <f t="shared" si="2"/>
        <v>999ブルガダ型疑い</v>
      </c>
      <c r="F101" t="s">
        <v>241</v>
      </c>
    </row>
    <row r="102" spans="1:6" x14ac:dyDescent="0.15">
      <c r="A102">
        <v>999</v>
      </c>
      <c r="B102" t="s">
        <v>138</v>
      </c>
      <c r="D102" t="str">
        <f t="shared" si="2"/>
        <v>999洞性不整脈</v>
      </c>
      <c r="F102" t="s">
        <v>242</v>
      </c>
    </row>
    <row r="103" spans="1:6" x14ac:dyDescent="0.15">
      <c r="A103">
        <v>999</v>
      </c>
      <c r="B103" t="s">
        <v>139</v>
      </c>
      <c r="D103" t="str">
        <f t="shared" si="2"/>
        <v>999補充収縮</v>
      </c>
      <c r="F103" t="s">
        <v>243</v>
      </c>
    </row>
    <row r="104" spans="1:6" x14ac:dyDescent="0.15">
      <c r="A104">
        <v>999</v>
      </c>
      <c r="B104" t="s">
        <v>140</v>
      </c>
      <c r="D104" t="str">
        <f t="shared" si="2"/>
        <v>999等頻度房室解離</v>
      </c>
      <c r="F104" t="s">
        <v>244</v>
      </c>
    </row>
    <row r="105" spans="1:6" x14ac:dyDescent="0.15">
      <c r="A105">
        <v>999</v>
      </c>
      <c r="B105" t="s">
        <v>141</v>
      </c>
      <c r="D105" t="str">
        <f t="shared" si="2"/>
        <v>999副収縮</v>
      </c>
      <c r="F105" t="s">
        <v>245</v>
      </c>
    </row>
    <row r="106" spans="1:6" x14ac:dyDescent="0.15">
      <c r="A106">
        <v>999</v>
      </c>
      <c r="B106" t="s">
        <v>142</v>
      </c>
      <c r="D106" t="str">
        <f t="shared" si="2"/>
        <v>999促進性心室調律</v>
      </c>
      <c r="F106" t="s">
        <v>246</v>
      </c>
    </row>
    <row r="107" spans="1:6" x14ac:dyDescent="0.15">
      <c r="A107">
        <v>999</v>
      </c>
      <c r="B107" t="s">
        <v>143</v>
      </c>
      <c r="D107" t="str">
        <f t="shared" si="2"/>
        <v>999移動性ペースメーカー</v>
      </c>
      <c r="F107" t="s">
        <v>247</v>
      </c>
    </row>
    <row r="108" spans="1:6" x14ac:dyDescent="0.15">
      <c r="A108">
        <v>999</v>
      </c>
      <c r="B108" t="s">
        <v>144</v>
      </c>
      <c r="D108" t="str">
        <f t="shared" si="2"/>
        <v>999陰性Ｕ波</v>
      </c>
      <c r="F108" t="s">
        <v>248</v>
      </c>
    </row>
    <row r="109" spans="1:6" x14ac:dyDescent="0.15">
      <c r="F109" t="s">
        <v>249</v>
      </c>
    </row>
    <row r="113" spans="6:6" x14ac:dyDescent="0.15">
      <c r="F113" t="s">
        <v>250</v>
      </c>
    </row>
    <row r="117" spans="6:6" x14ac:dyDescent="0.15">
      <c r="F117" t="s">
        <v>251</v>
      </c>
    </row>
    <row r="120" spans="6:6" x14ac:dyDescent="0.15">
      <c r="F120" t="s">
        <v>252</v>
      </c>
    </row>
    <row r="123" spans="6:6" x14ac:dyDescent="0.15">
      <c r="F123" t="s">
        <v>253</v>
      </c>
    </row>
    <row r="127" spans="6:6" x14ac:dyDescent="0.15">
      <c r="F127" t="s">
        <v>254</v>
      </c>
    </row>
    <row r="129" spans="6:6" x14ac:dyDescent="0.15">
      <c r="F129" t="s">
        <v>255</v>
      </c>
    </row>
    <row r="131" spans="6:6" x14ac:dyDescent="0.15">
      <c r="F131" t="s">
        <v>256</v>
      </c>
    </row>
    <row r="133" spans="6:6" x14ac:dyDescent="0.15">
      <c r="F133" t="s">
        <v>257</v>
      </c>
    </row>
    <row r="137" spans="6:6" x14ac:dyDescent="0.15">
      <c r="F137" t="s">
        <v>258</v>
      </c>
    </row>
    <row r="138" spans="6:6" x14ac:dyDescent="0.15">
      <c r="F138" t="s">
        <v>259</v>
      </c>
    </row>
    <row r="139" spans="6:6" x14ac:dyDescent="0.15">
      <c r="F139" t="s">
        <v>260</v>
      </c>
    </row>
    <row r="140" spans="6:6" x14ac:dyDescent="0.15">
      <c r="F140" t="s">
        <v>261</v>
      </c>
    </row>
    <row r="141" spans="6:6" x14ac:dyDescent="0.15">
      <c r="F141" t="s">
        <v>262</v>
      </c>
    </row>
    <row r="142" spans="6:6" x14ac:dyDescent="0.15">
      <c r="F142" t="s">
        <v>263</v>
      </c>
    </row>
    <row r="143" spans="6:6" x14ac:dyDescent="0.15">
      <c r="F143" t="s">
        <v>264</v>
      </c>
    </row>
    <row r="144" spans="6:6" x14ac:dyDescent="0.15">
      <c r="F144" t="s">
        <v>265</v>
      </c>
    </row>
    <row r="145" spans="6:6" x14ac:dyDescent="0.15">
      <c r="F145" t="s">
        <v>266</v>
      </c>
    </row>
    <row r="146" spans="6:6" x14ac:dyDescent="0.15">
      <c r="F146" t="s">
        <v>267</v>
      </c>
    </row>
    <row r="147" spans="6:6" x14ac:dyDescent="0.15">
      <c r="F147" t="s">
        <v>268</v>
      </c>
    </row>
    <row r="148" spans="6:6" x14ac:dyDescent="0.15">
      <c r="F148" t="s">
        <v>269</v>
      </c>
    </row>
    <row r="149" spans="6:6" x14ac:dyDescent="0.15">
      <c r="F149" t="s">
        <v>270</v>
      </c>
    </row>
    <row r="150" spans="6:6" x14ac:dyDescent="0.15">
      <c r="F150" t="s">
        <v>271</v>
      </c>
    </row>
    <row r="151" spans="6:6" x14ac:dyDescent="0.15">
      <c r="F151" t="s">
        <v>272</v>
      </c>
    </row>
    <row r="152" spans="6:6" x14ac:dyDescent="0.15">
      <c r="F152" t="s">
        <v>273</v>
      </c>
    </row>
    <row r="153" spans="6:6" x14ac:dyDescent="0.15">
      <c r="F153" t="s">
        <v>274</v>
      </c>
    </row>
    <row r="154" spans="6:6" x14ac:dyDescent="0.15">
      <c r="F154" t="s">
        <v>275</v>
      </c>
    </row>
    <row r="155" spans="6:6" x14ac:dyDescent="0.15">
      <c r="F155" t="s">
        <v>276</v>
      </c>
    </row>
    <row r="156" spans="6:6" x14ac:dyDescent="0.15">
      <c r="F156" t="s">
        <v>277</v>
      </c>
    </row>
    <row r="157" spans="6:6" x14ac:dyDescent="0.15">
      <c r="F157" t="s">
        <v>278</v>
      </c>
    </row>
    <row r="158" spans="6:6" x14ac:dyDescent="0.15">
      <c r="F158" t="s">
        <v>279</v>
      </c>
    </row>
    <row r="159" spans="6:6" x14ac:dyDescent="0.15">
      <c r="F159" t="s">
        <v>280</v>
      </c>
    </row>
    <row r="160" spans="6:6" x14ac:dyDescent="0.15">
      <c r="F160" t="s">
        <v>281</v>
      </c>
    </row>
    <row r="161" spans="6:6" x14ac:dyDescent="0.15">
      <c r="F161" t="s">
        <v>281</v>
      </c>
    </row>
    <row r="162" spans="6:6" x14ac:dyDescent="0.15">
      <c r="F162" t="s">
        <v>281</v>
      </c>
    </row>
    <row r="163" spans="6:6" x14ac:dyDescent="0.15">
      <c r="F163" t="s">
        <v>281</v>
      </c>
    </row>
    <row r="164" spans="6:6" x14ac:dyDescent="0.15">
      <c r="F164" t="s">
        <v>282</v>
      </c>
    </row>
    <row r="165" spans="6:6" x14ac:dyDescent="0.15">
      <c r="F165" t="s">
        <v>283</v>
      </c>
    </row>
    <row r="166" spans="6:6" x14ac:dyDescent="0.15">
      <c r="F166" t="s">
        <v>284</v>
      </c>
    </row>
    <row r="167" spans="6:6" x14ac:dyDescent="0.15">
      <c r="F167" t="s">
        <v>285</v>
      </c>
    </row>
    <row r="168" spans="6:6" x14ac:dyDescent="0.15">
      <c r="F168" t="s">
        <v>286</v>
      </c>
    </row>
    <row r="169" spans="6:6" x14ac:dyDescent="0.15">
      <c r="F169" t="s">
        <v>287</v>
      </c>
    </row>
    <row r="170" spans="6:6" x14ac:dyDescent="0.15">
      <c r="F170" t="s">
        <v>288</v>
      </c>
    </row>
    <row r="171" spans="6:6" x14ac:dyDescent="0.15">
      <c r="F171" t="s">
        <v>289</v>
      </c>
    </row>
    <row r="172" spans="6:6" x14ac:dyDescent="0.15">
      <c r="F172" t="s">
        <v>290</v>
      </c>
    </row>
    <row r="173" spans="6:6" x14ac:dyDescent="0.15">
      <c r="F173" t="s">
        <v>291</v>
      </c>
    </row>
    <row r="174" spans="6:6" x14ac:dyDescent="0.15">
      <c r="F174" t="s">
        <v>292</v>
      </c>
    </row>
    <row r="175" spans="6:6" x14ac:dyDescent="0.15">
      <c r="F175" t="s">
        <v>293</v>
      </c>
    </row>
    <row r="176" spans="6:6" x14ac:dyDescent="0.15">
      <c r="F176" t="s">
        <v>294</v>
      </c>
    </row>
    <row r="177" spans="6:6" x14ac:dyDescent="0.15">
      <c r="F177" t="s">
        <v>295</v>
      </c>
    </row>
    <row r="178" spans="6:6" x14ac:dyDescent="0.15">
      <c r="F178" t="s">
        <v>296</v>
      </c>
    </row>
    <row r="179" spans="6:6" x14ac:dyDescent="0.15">
      <c r="F179" t="s">
        <v>297</v>
      </c>
    </row>
    <row r="180" spans="6:6" x14ac:dyDescent="0.15">
      <c r="F180" t="s">
        <v>298</v>
      </c>
    </row>
    <row r="181" spans="6:6" x14ac:dyDescent="0.15">
      <c r="F181" t="s">
        <v>299</v>
      </c>
    </row>
    <row r="182" spans="6:6" x14ac:dyDescent="0.15">
      <c r="F182" t="s">
        <v>300</v>
      </c>
    </row>
    <row r="183" spans="6:6" x14ac:dyDescent="0.15">
      <c r="F183" t="s">
        <v>301</v>
      </c>
    </row>
    <row r="184" spans="6:6" x14ac:dyDescent="0.15">
      <c r="F184" t="s">
        <v>302</v>
      </c>
    </row>
    <row r="185" spans="6:6" x14ac:dyDescent="0.15">
      <c r="F185" t="s">
        <v>303</v>
      </c>
    </row>
    <row r="186" spans="6:6" x14ac:dyDescent="0.15">
      <c r="F186" t="s">
        <v>304</v>
      </c>
    </row>
    <row r="187" spans="6:6" x14ac:dyDescent="0.15">
      <c r="F187" t="s">
        <v>305</v>
      </c>
    </row>
    <row r="188" spans="6:6" x14ac:dyDescent="0.15">
      <c r="F188" t="s">
        <v>306</v>
      </c>
    </row>
    <row r="189" spans="6:6" x14ac:dyDescent="0.15">
      <c r="F189" t="s">
        <v>307</v>
      </c>
    </row>
    <row r="190" spans="6:6" x14ac:dyDescent="0.15">
      <c r="F190" t="s">
        <v>308</v>
      </c>
    </row>
    <row r="191" spans="6:6" x14ac:dyDescent="0.15">
      <c r="F191" t="s">
        <v>309</v>
      </c>
    </row>
    <row r="192" spans="6:6" x14ac:dyDescent="0.15">
      <c r="F192" t="s">
        <v>310</v>
      </c>
    </row>
    <row r="193" spans="6:6" x14ac:dyDescent="0.15">
      <c r="F193" t="s">
        <v>311</v>
      </c>
    </row>
    <row r="194" spans="6:6" x14ac:dyDescent="0.15">
      <c r="F194" t="s">
        <v>312</v>
      </c>
    </row>
    <row r="195" spans="6:6" x14ac:dyDescent="0.15">
      <c r="F195" t="s">
        <v>313</v>
      </c>
    </row>
    <row r="196" spans="6:6" x14ac:dyDescent="0.15">
      <c r="F196" t="s">
        <v>314</v>
      </c>
    </row>
    <row r="197" spans="6:6" x14ac:dyDescent="0.15">
      <c r="F197" t="s">
        <v>315</v>
      </c>
    </row>
    <row r="198" spans="6:6" x14ac:dyDescent="0.15">
      <c r="F198" t="s">
        <v>316</v>
      </c>
    </row>
    <row r="199" spans="6:6" x14ac:dyDescent="0.15">
      <c r="F199" t="s">
        <v>317</v>
      </c>
    </row>
    <row r="200" spans="6:6" x14ac:dyDescent="0.15">
      <c r="F200" t="s">
        <v>318</v>
      </c>
    </row>
    <row r="201" spans="6:6" x14ac:dyDescent="0.15">
      <c r="F201" t="s">
        <v>319</v>
      </c>
    </row>
    <row r="202" spans="6:6" x14ac:dyDescent="0.15">
      <c r="F202" t="s">
        <v>320</v>
      </c>
    </row>
    <row r="203" spans="6:6" x14ac:dyDescent="0.15">
      <c r="F203" t="s">
        <v>321</v>
      </c>
    </row>
    <row r="204" spans="6:6" x14ac:dyDescent="0.15">
      <c r="F204" t="s">
        <v>322</v>
      </c>
    </row>
    <row r="205" spans="6:6" x14ac:dyDescent="0.15">
      <c r="F205" t="s">
        <v>323</v>
      </c>
    </row>
    <row r="206" spans="6:6" x14ac:dyDescent="0.15">
      <c r="F206" t="s">
        <v>324</v>
      </c>
    </row>
    <row r="207" spans="6:6" x14ac:dyDescent="0.15">
      <c r="F207" t="s">
        <v>325</v>
      </c>
    </row>
    <row r="208" spans="6:6" x14ac:dyDescent="0.15">
      <c r="F208" t="s">
        <v>326</v>
      </c>
    </row>
    <row r="209" spans="6:6" x14ac:dyDescent="0.15">
      <c r="F209" t="s">
        <v>327</v>
      </c>
    </row>
    <row r="210" spans="6:6" x14ac:dyDescent="0.15">
      <c r="F210" t="s">
        <v>328</v>
      </c>
    </row>
    <row r="211" spans="6:6" x14ac:dyDescent="0.15">
      <c r="F211" t="s">
        <v>329</v>
      </c>
    </row>
    <row r="212" spans="6:6" x14ac:dyDescent="0.15">
      <c r="F212" t="s">
        <v>330</v>
      </c>
    </row>
    <row r="213" spans="6:6" x14ac:dyDescent="0.15">
      <c r="F213" t="s">
        <v>331</v>
      </c>
    </row>
    <row r="214" spans="6:6" x14ac:dyDescent="0.15">
      <c r="F214" t="s">
        <v>332</v>
      </c>
    </row>
    <row r="215" spans="6:6" x14ac:dyDescent="0.15">
      <c r="F215" t="s">
        <v>333</v>
      </c>
    </row>
    <row r="216" spans="6:6" x14ac:dyDescent="0.15">
      <c r="F216" t="s">
        <v>334</v>
      </c>
    </row>
    <row r="217" spans="6:6" x14ac:dyDescent="0.15">
      <c r="F217" t="s">
        <v>335</v>
      </c>
    </row>
    <row r="218" spans="6:6" x14ac:dyDescent="0.15">
      <c r="F218" t="s">
        <v>336</v>
      </c>
    </row>
    <row r="219" spans="6:6" x14ac:dyDescent="0.15">
      <c r="F219" t="s">
        <v>337</v>
      </c>
    </row>
    <row r="220" spans="6:6" x14ac:dyDescent="0.15">
      <c r="F220" t="s">
        <v>338</v>
      </c>
    </row>
    <row r="221" spans="6:6" x14ac:dyDescent="0.15">
      <c r="F221" t="s">
        <v>339</v>
      </c>
    </row>
    <row r="222" spans="6:6" x14ac:dyDescent="0.15">
      <c r="F222" t="s">
        <v>340</v>
      </c>
    </row>
    <row r="223" spans="6:6" x14ac:dyDescent="0.15">
      <c r="F223" t="s">
        <v>341</v>
      </c>
    </row>
    <row r="224" spans="6:6" x14ac:dyDescent="0.15">
      <c r="F224" t="s">
        <v>342</v>
      </c>
    </row>
    <row r="225" spans="6:6" x14ac:dyDescent="0.15">
      <c r="F225" t="s">
        <v>343</v>
      </c>
    </row>
    <row r="226" spans="6:6" x14ac:dyDescent="0.15">
      <c r="F226" t="s">
        <v>344</v>
      </c>
    </row>
    <row r="227" spans="6:6" x14ac:dyDescent="0.15">
      <c r="F227" t="s">
        <v>345</v>
      </c>
    </row>
    <row r="228" spans="6:6" x14ac:dyDescent="0.15">
      <c r="F228" t="s">
        <v>346</v>
      </c>
    </row>
    <row r="229" spans="6:6" x14ac:dyDescent="0.15">
      <c r="F229" t="s">
        <v>347</v>
      </c>
    </row>
  </sheetData>
  <autoFilter ref="A2:F109"/>
  <mergeCells count="1">
    <mergeCell ref="A1:M1"/>
  </mergeCells>
  <phoneticPr fontId="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mb">
          <controlPr autoLine="0" autoPict="0" r:id="rId4">
            <anchor moveWithCells="1">
              <from>
                <xdr:col>0</xdr:col>
                <xdr:colOff>123825</xdr:colOff>
                <xdr:row>0</xdr:row>
                <xdr:rowOff>47625</xdr:rowOff>
              </from>
              <to>
                <xdr:col>2</xdr:col>
                <xdr:colOff>228600</xdr:colOff>
                <xdr:row>0</xdr:row>
                <xdr:rowOff>295275</xdr:rowOff>
              </to>
            </anchor>
          </controlPr>
        </control>
      </mc:Choice>
      <mc:Fallback>
        <control shapeId="1037" r:id="rId3" name="cmb"/>
      </mc:Fallback>
    </mc:AlternateContent>
    <mc:AlternateContent xmlns:mc="http://schemas.openxmlformats.org/markup-compatibility/2006">
      <mc:Choice Requires="x14">
        <control shapeId="1028" r:id="rId5" name="btnSearch">
          <controlPr defaultSize="0" print="0" autoFill="0" autoPict="0" macro="[0]!btnSearch_Click">
            <anchor moveWithCells="1">
              <from>
                <xdr:col>2</xdr:col>
                <xdr:colOff>314325</xdr:colOff>
                <xdr:row>0</xdr:row>
                <xdr:rowOff>66675</xdr:rowOff>
              </from>
              <to>
                <xdr:col>3</xdr:col>
                <xdr:colOff>161925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btnClear_Click">
            <anchor moveWithCells="1">
              <from>
                <xdr:col>3</xdr:col>
                <xdr:colOff>447675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tabSelected="1" workbookViewId="0">
      <selection activeCell="K12" sqref="K12"/>
    </sheetView>
  </sheetViews>
  <sheetFormatPr defaultRowHeight="13.5" x14ac:dyDescent="0.15"/>
  <cols>
    <col min="1" max="16384" width="9" style="2"/>
  </cols>
  <sheetData>
    <row r="1" spans="1:15" x14ac:dyDescent="0.15">
      <c r="A1" s="2" t="s">
        <v>354</v>
      </c>
      <c r="B1" s="2" t="s">
        <v>355</v>
      </c>
      <c r="C1" s="2" t="s">
        <v>356</v>
      </c>
      <c r="D1" s="2" t="s">
        <v>357</v>
      </c>
      <c r="E1" s="2" t="s">
        <v>358</v>
      </c>
      <c r="F1" s="2" t="s">
        <v>359</v>
      </c>
      <c r="G1" s="2" t="s">
        <v>360</v>
      </c>
    </row>
    <row r="2" spans="1:15" x14ac:dyDescent="0.15">
      <c r="A2" s="2" t="s">
        <v>0</v>
      </c>
      <c r="B2" s="2" t="s">
        <v>361</v>
      </c>
      <c r="C2" s="2" t="s">
        <v>361</v>
      </c>
      <c r="D2" s="2" t="s">
        <v>366</v>
      </c>
      <c r="E2" s="2" t="s">
        <v>362</v>
      </c>
      <c r="F2" s="2" t="s">
        <v>363</v>
      </c>
      <c r="G2" s="2" t="s">
        <v>363</v>
      </c>
    </row>
    <row r="3" spans="1:15" x14ac:dyDescent="0.15">
      <c r="A3" s="2" t="s">
        <v>1</v>
      </c>
      <c r="B3" s="2" t="s">
        <v>361</v>
      </c>
      <c r="C3" s="2" t="s">
        <v>361</v>
      </c>
      <c r="D3" s="2" t="s">
        <v>367</v>
      </c>
      <c r="E3" s="2" t="s">
        <v>362</v>
      </c>
      <c r="F3" s="2" t="s">
        <v>364</v>
      </c>
      <c r="G3" s="2" t="s">
        <v>364</v>
      </c>
    </row>
    <row r="4" spans="1:15" x14ac:dyDescent="0.15">
      <c r="A4" s="2" t="s">
        <v>368</v>
      </c>
      <c r="B4" s="2" t="s">
        <v>361</v>
      </c>
      <c r="C4" s="2" t="s">
        <v>361</v>
      </c>
      <c r="D4" s="2" t="s">
        <v>369</v>
      </c>
      <c r="E4" s="2" t="s">
        <v>362</v>
      </c>
      <c r="F4" s="2" t="s">
        <v>365</v>
      </c>
      <c r="G4" s="2" t="s">
        <v>365</v>
      </c>
    </row>
    <row r="6" spans="1:15" x14ac:dyDescent="0.15">
      <c r="I6" s="2" t="s">
        <v>373</v>
      </c>
    </row>
    <row r="7" spans="1:15" x14ac:dyDescent="0.15">
      <c r="A7" s="2" t="s">
        <v>354</v>
      </c>
      <c r="B7" s="2" t="s">
        <v>355</v>
      </c>
      <c r="C7" s="2" t="s">
        <v>356</v>
      </c>
      <c r="D7" s="2" t="s">
        <v>357</v>
      </c>
      <c r="E7" s="2" t="s">
        <v>358</v>
      </c>
      <c r="F7" s="2" t="s">
        <v>359</v>
      </c>
      <c r="G7" s="2" t="s">
        <v>370</v>
      </c>
      <c r="H7" s="2" t="s">
        <v>371</v>
      </c>
    </row>
    <row r="8" spans="1:15" x14ac:dyDescent="0.15">
      <c r="A8" s="2" t="s">
        <v>0</v>
      </c>
      <c r="B8" s="2" t="s">
        <v>372</v>
      </c>
      <c r="C8" s="2" t="s">
        <v>362</v>
      </c>
      <c r="D8" s="2" t="s">
        <v>361</v>
      </c>
      <c r="E8" s="2" t="s">
        <v>361</v>
      </c>
      <c r="F8" s="2" t="s">
        <v>0</v>
      </c>
      <c r="G8" s="2" t="s">
        <v>0</v>
      </c>
      <c r="H8" s="2" t="s">
        <v>1</v>
      </c>
    </row>
    <row r="11" spans="1:15" x14ac:dyDescent="0.15">
      <c r="A11" s="2" t="s">
        <v>374</v>
      </c>
      <c r="B11" s="2" t="s">
        <v>355</v>
      </c>
      <c r="C11" s="2" t="s">
        <v>356</v>
      </c>
      <c r="D11" s="2" t="s">
        <v>357</v>
      </c>
      <c r="E11" s="2" t="s">
        <v>358</v>
      </c>
      <c r="F11" s="2" t="s">
        <v>359</v>
      </c>
      <c r="G11" s="2" t="s">
        <v>375</v>
      </c>
      <c r="H11" s="2" t="s">
        <v>376</v>
      </c>
      <c r="I11" s="2" t="s">
        <v>377</v>
      </c>
      <c r="J11" s="2" t="s">
        <v>378</v>
      </c>
      <c r="K11" s="2" t="s">
        <v>379</v>
      </c>
      <c r="L11" s="2" t="s">
        <v>380</v>
      </c>
      <c r="M11" s="2" t="s">
        <v>381</v>
      </c>
      <c r="N11" s="2" t="s">
        <v>382</v>
      </c>
      <c r="O11" s="2" t="s">
        <v>383</v>
      </c>
    </row>
    <row r="12" spans="1:15" x14ac:dyDescent="0.15">
      <c r="A12" s="2" t="s">
        <v>384</v>
      </c>
      <c r="B12" s="2" t="s">
        <v>385</v>
      </c>
      <c r="C12" s="2" t="s">
        <v>362</v>
      </c>
      <c r="D12" s="2" t="s">
        <v>361</v>
      </c>
      <c r="E12" s="2" t="s">
        <v>361</v>
      </c>
      <c r="F12" s="2" t="s">
        <v>386</v>
      </c>
      <c r="G12" s="2" t="s">
        <v>387</v>
      </c>
      <c r="H12" s="2" t="s">
        <v>388</v>
      </c>
      <c r="I12" s="2" t="s">
        <v>0</v>
      </c>
      <c r="J12" s="2" t="s">
        <v>0</v>
      </c>
      <c r="K12" s="2" t="s">
        <v>0</v>
      </c>
      <c r="L12" s="2" t="s">
        <v>0</v>
      </c>
      <c r="M12" s="2" t="s">
        <v>389</v>
      </c>
      <c r="N12" s="2" t="s">
        <v>390</v>
      </c>
      <c r="O12" s="2" t="s">
        <v>391</v>
      </c>
    </row>
    <row r="16" spans="1:15" x14ac:dyDescent="0.15">
      <c r="A16" s="2" t="s">
        <v>354</v>
      </c>
      <c r="B16" s="2" t="s">
        <v>355</v>
      </c>
      <c r="C16" s="2" t="s">
        <v>356</v>
      </c>
      <c r="D16" s="2" t="s">
        <v>357</v>
      </c>
      <c r="E16" s="2" t="s">
        <v>358</v>
      </c>
      <c r="F16" s="2" t="s">
        <v>359</v>
      </c>
      <c r="G16" s="2" t="s">
        <v>370</v>
      </c>
      <c r="H16" s="2" t="s">
        <v>392</v>
      </c>
      <c r="I16" s="2" t="s">
        <v>393</v>
      </c>
    </row>
    <row r="17" spans="1:9" x14ac:dyDescent="0.15">
      <c r="A17" s="2" t="s">
        <v>0</v>
      </c>
      <c r="B17" s="2" t="s">
        <v>394</v>
      </c>
      <c r="C17" s="2" t="s">
        <v>362</v>
      </c>
      <c r="D17" s="2" t="s">
        <v>361</v>
      </c>
      <c r="E17" s="2" t="s">
        <v>361</v>
      </c>
      <c r="F17" s="2" t="s">
        <v>395</v>
      </c>
      <c r="G17" s="2" t="s">
        <v>396</v>
      </c>
      <c r="H17" s="2" t="s">
        <v>397</v>
      </c>
      <c r="I17" s="2" t="s">
        <v>398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グエン　チョン　フーン</dc:creator>
  <cp:lastModifiedBy>グエン　チョン　フーン</cp:lastModifiedBy>
  <dcterms:created xsi:type="dcterms:W3CDTF">2019-12-02T04:07:36Z</dcterms:created>
  <dcterms:modified xsi:type="dcterms:W3CDTF">2019-12-12T07:41:11Z</dcterms:modified>
</cp:coreProperties>
</file>